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ference" sheetId="1" state="visible" r:id="rId2"/>
    <sheet name="Reference Meal Pla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<sst xmlns="http://schemas.openxmlformats.org/spreadsheetml/2006/main" count="187" uniqueCount="77">
  <si>
    <t xml:space="preserve">Item</t>
  </si>
  <si>
    <t xml:space="preserve">Unit</t>
  </si>
  <si>
    <t xml:space="preserve">Calories / unit</t>
  </si>
  <si>
    <t xml:space="preserve">Protein / unit</t>
  </si>
  <si>
    <t xml:space="preserve">Fat / unit</t>
  </si>
  <si>
    <t xml:space="preserve">Carbs / unit</t>
  </si>
  <si>
    <t xml:space="preserve">Fiber / unit</t>
  </si>
  <si>
    <t xml:space="preserve">Whole eggs</t>
  </si>
  <si>
    <t xml:space="preserve">#</t>
  </si>
  <si>
    <t xml:space="preserve">Egg whites</t>
  </si>
  <si>
    <t xml:space="preserve">gram</t>
  </si>
  <si>
    <t xml:space="preserve">Jocko protein powder</t>
  </si>
  <si>
    <t xml:space="preserve">Dry oats</t>
  </si>
  <si>
    <t xml:space="preserve">Whole milk (3.25% fat)</t>
  </si>
  <si>
    <t xml:space="preserve">Chicken breast (Raw)</t>
  </si>
  <si>
    <t xml:space="preserve">Jasmine rice (Uncooked)</t>
  </si>
  <si>
    <t xml:space="preserve">Broccoli</t>
  </si>
  <si>
    <t xml:space="preserve">Non-fat Greek yogurt</t>
  </si>
  <si>
    <t xml:space="preserve">Blueberries</t>
  </si>
  <si>
    <t xml:space="preserve">Almonds</t>
  </si>
  <si>
    <t xml:space="preserve">93% lean ground beef (Raw)</t>
  </si>
  <si>
    <t xml:space="preserve">Raw sweet potato</t>
  </si>
  <si>
    <t xml:space="preserve">Mixed salad (Lettuce, Tomato, Cucumber, Lemon)</t>
  </si>
  <si>
    <t xml:space="preserve">serving</t>
  </si>
  <si>
    <t xml:space="preserve">Avocado</t>
  </si>
  <si>
    <t xml:space="preserve">Full-fat Greek yogurt</t>
  </si>
  <si>
    <t xml:space="preserve">Frozen mixed berries</t>
  </si>
  <si>
    <t xml:space="preserve">Peanut butter</t>
  </si>
  <si>
    <t xml:space="preserve">Whole wheat bread</t>
  </si>
  <si>
    <t xml:space="preserve">Chicken thighs, boneless skinless (Raw)</t>
  </si>
  <si>
    <t xml:space="preserve">Olive oil</t>
  </si>
  <si>
    <t xml:space="preserve">80/20 ground beef (Raw)</t>
  </si>
  <si>
    <t xml:space="preserve">Granola</t>
  </si>
  <si>
    <t xml:space="preserve">Salmon (Raw)</t>
  </si>
  <si>
    <t xml:space="preserve">Top sirloin steak (Raw)</t>
  </si>
  <si>
    <t xml:space="preserve">Parmesan cheese</t>
  </si>
  <si>
    <t xml:space="preserve">Cottage cheese (4%)</t>
  </si>
  <si>
    <t xml:space="preserve">Banana</t>
  </si>
  <si>
    <t xml:space="preserve">Shrimp (Raw)</t>
  </si>
  <si>
    <t xml:space="preserve">Cod (Raw)</t>
  </si>
  <si>
    <t xml:space="preserve">Collagen peptides</t>
  </si>
  <si>
    <t xml:space="preserve">Creatine monohydrate</t>
  </si>
  <si>
    <t xml:space="preserve">Unsweetened almond milk</t>
  </si>
  <si>
    <t xml:space="preserve">2% Reduced Fat Milk</t>
  </si>
  <si>
    <t xml:space="preserve">mL</t>
  </si>
  <si>
    <t xml:space="preserve">Apple (Raw, with skin)</t>
  </si>
  <si>
    <t xml:space="preserve">Pineapple (Raw)</t>
  </si>
  <si>
    <t xml:space="preserve">Watermelon (Raw)</t>
  </si>
  <si>
    <t xml:space="preserve">Spinach (Raw)</t>
  </si>
  <si>
    <t xml:space="preserve">Note: Change/Add if necessary.</t>
  </si>
  <si>
    <t xml:space="preserve">Daily Meal Plan Sample</t>
  </si>
  <si>
    <t xml:space="preserve">Amount</t>
  </si>
  <si>
    <t xml:space="preserve">Calories</t>
  </si>
  <si>
    <t xml:space="preserve">Protein (g)</t>
  </si>
  <si>
    <t xml:space="preserve">Fat (g)</t>
  </si>
  <si>
    <t xml:space="preserve">Carbs (g)</t>
  </si>
  <si>
    <t xml:space="preserve">Fiber (g)</t>
  </si>
  <si>
    <t xml:space="preserve">BREAKFAST</t>
  </si>
  <si>
    <t xml:space="preserve">Option A</t>
  </si>
  <si>
    <t xml:space="preserve">Option A - Smoothie subtotal</t>
  </si>
  <si>
    <t xml:space="preserve">Option B</t>
  </si>
  <si>
    <t xml:space="preserve">Option B - Overnight Oats subtotal</t>
  </si>
  <si>
    <t xml:space="preserve">Option C</t>
  </si>
  <si>
    <t xml:space="preserve">Option C - Eggs &amp; Toast subtotal</t>
  </si>
  <si>
    <t xml:space="preserve">LUNCH</t>
  </si>
  <si>
    <t xml:space="preserve">Option A subtotal</t>
  </si>
  <si>
    <t xml:space="preserve">Option B subtotal</t>
  </si>
  <si>
    <t xml:space="preserve">Option C subtotal</t>
  </si>
  <si>
    <t xml:space="preserve">SNACK</t>
  </si>
  <si>
    <t xml:space="preserve">DINNER</t>
  </si>
  <si>
    <t xml:space="preserve">OUT OF DIET (enter these yourself if necessary)</t>
  </si>
  <si>
    <t xml:space="preserve">XXX</t>
  </si>
  <si>
    <t xml:space="preserve">Out of diet subtotal</t>
  </si>
  <si>
    <t xml:space="preserve">Note: choose ONE option per meal.</t>
  </si>
  <si>
    <t xml:space="preserve">EXAMPLE DAY - Smoothie / Chicken / Yogurt Snack / Cod</t>
  </si>
  <si>
    <t xml:space="preserve">EXAMPLE DAY - Overnight Oats / Shrimp / PB Toast Snack / Salmon</t>
  </si>
  <si>
    <t xml:space="preserve">EXAMPLE DAY - Eggs &amp; Toast / Ground Beef / Yogurt Snack / Steak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</si>
</sst>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604A7B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11"/>
      <color rgb="FF1F3864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i val="true"/>
      <sz val="10"/>
      <color rgb="FF7F7F7F"/>
      <name val="Arial"/>
      <family val="2"/>
      <charset val="1"/>
    </font>
    <font>
      <b val="true"/>
      <sz val="12"/>
      <color rgb="FFFFFF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604A7B"/>
        <bgColor rgb="FF403152"/>
      </patternFill>
    </fill>
    <fill>
      <patternFill patternType="solid">
        <fgColor rgb="FF403152"/>
        <bgColor rgb="FF1F3864"/>
      </patternFill>
    </fill>
    <fill>
      <patternFill patternType="solid">
        <fgColor rgb="FFCCC1DA"/>
        <bgColor rgb="FFBFBFBF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4A7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04A7B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49.55"/>
    <col collapsed="false" customWidth="true" hidden="false" outlineLevel="0" max="2" min="2" style="0" width="19.44"/>
    <col collapsed="false" customWidth="true" hidden="false" outlineLevel="0" max="7" min="3" style="0" width="15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4" t="s">
        <v>8</v>
      </c>
      <c r="C2" s="5" t="n">
        <v>72</v>
      </c>
      <c r="D2" s="5" t="n">
        <v>6.3</v>
      </c>
      <c r="E2" s="5" t="n">
        <v>4.8</v>
      </c>
      <c r="F2" s="5" t="n">
        <v>0.4</v>
      </c>
      <c r="G2" s="5" t="n">
        <v>0</v>
      </c>
    </row>
    <row r="3" customFormat="false" ht="14.25" hidden="false" customHeight="false" outlineLevel="0" collapsed="false">
      <c r="A3" s="3" t="s">
        <v>9</v>
      </c>
      <c r="B3" s="4" t="s">
        <v>10</v>
      </c>
      <c r="C3" s="5" t="n">
        <v>0.52</v>
      </c>
      <c r="D3" s="5" t="n">
        <v>0.11</v>
      </c>
      <c r="E3" s="5" t="n">
        <v>0</v>
      </c>
      <c r="F3" s="5" t="n">
        <v>0.01</v>
      </c>
      <c r="G3" s="5" t="n">
        <v>0</v>
      </c>
    </row>
    <row r="4" customFormat="false" ht="14.25" hidden="false" customHeight="false" outlineLevel="0" collapsed="false">
      <c r="A4" s="3" t="s">
        <v>11</v>
      </c>
      <c r="B4" s="4" t="s">
        <v>10</v>
      </c>
      <c r="C4" s="5" t="n">
        <v>3.53</v>
      </c>
      <c r="D4" s="5" t="n">
        <v>0.65</v>
      </c>
      <c r="E4" s="5" t="n">
        <v>0.07</v>
      </c>
      <c r="F4" s="5" t="n">
        <v>0.15</v>
      </c>
      <c r="G4" s="5" t="n">
        <v>0</v>
      </c>
    </row>
    <row r="5" customFormat="false" ht="14.25" hidden="false" customHeight="false" outlineLevel="0" collapsed="false">
      <c r="A5" s="3" t="s">
        <v>12</v>
      </c>
      <c r="B5" s="4" t="s">
        <v>10</v>
      </c>
      <c r="C5" s="5" t="n">
        <v>3.9</v>
      </c>
      <c r="D5" s="5" t="n">
        <v>0.17</v>
      </c>
      <c r="E5" s="5" t="n">
        <v>0.07</v>
      </c>
      <c r="F5" s="5" t="n">
        <v>0.66</v>
      </c>
      <c r="G5" s="5" t="n">
        <v>0.1</v>
      </c>
    </row>
    <row r="6" customFormat="false" ht="14.25" hidden="false" customHeight="false" outlineLevel="0" collapsed="false">
      <c r="A6" s="3" t="s">
        <v>13</v>
      </c>
      <c r="B6" s="4" t="s">
        <v>10</v>
      </c>
      <c r="C6" s="5" t="n">
        <v>0.61</v>
      </c>
      <c r="D6" s="5" t="n">
        <v>0.03</v>
      </c>
      <c r="E6" s="5" t="n">
        <v>0.03</v>
      </c>
      <c r="F6" s="5" t="n">
        <v>0.05</v>
      </c>
      <c r="G6" s="5" t="n">
        <v>0</v>
      </c>
    </row>
    <row r="7" customFormat="false" ht="14.25" hidden="false" customHeight="false" outlineLevel="0" collapsed="false">
      <c r="A7" s="3" t="s">
        <v>14</v>
      </c>
      <c r="B7" s="4" t="s">
        <v>10</v>
      </c>
      <c r="C7" s="5" t="n">
        <v>1.2</v>
      </c>
      <c r="D7" s="5" t="n">
        <v>0.23</v>
      </c>
      <c r="E7" s="5" t="n">
        <v>0.03</v>
      </c>
      <c r="F7" s="5" t="n">
        <v>0</v>
      </c>
      <c r="G7" s="5" t="n">
        <v>0</v>
      </c>
    </row>
    <row r="8" customFormat="false" ht="14.25" hidden="false" customHeight="false" outlineLevel="0" collapsed="false">
      <c r="A8" s="3" t="s">
        <v>15</v>
      </c>
      <c r="B8" s="4" t="s">
        <v>10</v>
      </c>
      <c r="C8" s="5" t="n">
        <v>3.6</v>
      </c>
      <c r="D8" s="5" t="n">
        <v>0.08</v>
      </c>
      <c r="E8" s="5" t="n">
        <v>0.01</v>
      </c>
      <c r="F8" s="5" t="n">
        <v>0.8</v>
      </c>
      <c r="G8" s="5" t="n">
        <v>0.01</v>
      </c>
    </row>
    <row r="9" customFormat="false" ht="14.25" hidden="false" customHeight="false" outlineLevel="0" collapsed="false">
      <c r="A9" s="3" t="s">
        <v>16</v>
      </c>
      <c r="B9" s="4" t="s">
        <v>10</v>
      </c>
      <c r="C9" s="5" t="n">
        <v>0.34</v>
      </c>
      <c r="D9" s="5" t="n">
        <v>0.03</v>
      </c>
      <c r="E9" s="5" t="n">
        <v>0</v>
      </c>
      <c r="F9" s="5" t="n">
        <v>0.07</v>
      </c>
      <c r="G9" s="5" t="n">
        <v>0.03</v>
      </c>
    </row>
    <row r="10" customFormat="false" ht="14.25" hidden="false" customHeight="false" outlineLevel="0" collapsed="false">
      <c r="A10" s="3" t="s">
        <v>17</v>
      </c>
      <c r="B10" s="4" t="s">
        <v>10</v>
      </c>
      <c r="C10" s="5" t="n">
        <v>0.59</v>
      </c>
      <c r="D10" s="5" t="n">
        <v>0.1</v>
      </c>
      <c r="E10" s="5" t="n">
        <v>0</v>
      </c>
      <c r="F10" s="5" t="n">
        <v>0.04</v>
      </c>
      <c r="G10" s="5" t="n">
        <v>0</v>
      </c>
    </row>
    <row r="11" customFormat="false" ht="14.25" hidden="false" customHeight="false" outlineLevel="0" collapsed="false">
      <c r="A11" s="3" t="s">
        <v>18</v>
      </c>
      <c r="B11" s="4" t="s">
        <v>10</v>
      </c>
      <c r="C11" s="5" t="n">
        <v>0.57</v>
      </c>
      <c r="D11" s="5" t="n">
        <v>0.01</v>
      </c>
      <c r="E11" s="5" t="n">
        <v>0</v>
      </c>
      <c r="F11" s="5" t="n">
        <v>0.15</v>
      </c>
      <c r="G11" s="5" t="n">
        <v>0.02</v>
      </c>
    </row>
    <row r="12" customFormat="false" ht="14.25" hidden="false" customHeight="false" outlineLevel="0" collapsed="false">
      <c r="A12" s="3" t="s">
        <v>19</v>
      </c>
      <c r="B12" s="4" t="s">
        <v>10</v>
      </c>
      <c r="C12" s="5" t="n">
        <v>5.8</v>
      </c>
      <c r="D12" s="5" t="n">
        <v>0.21</v>
      </c>
      <c r="E12" s="5" t="n">
        <v>0.5</v>
      </c>
      <c r="F12" s="5" t="n">
        <v>0.22</v>
      </c>
      <c r="G12" s="5" t="n">
        <v>0.13</v>
      </c>
    </row>
    <row r="13" customFormat="false" ht="14.25" hidden="false" customHeight="false" outlineLevel="0" collapsed="false">
      <c r="A13" s="3" t="s">
        <v>20</v>
      </c>
      <c r="B13" s="4" t="s">
        <v>10</v>
      </c>
      <c r="C13" s="5" t="n">
        <v>1.72</v>
      </c>
      <c r="D13" s="5" t="n">
        <v>0.25</v>
      </c>
      <c r="E13" s="5" t="n">
        <v>0.08</v>
      </c>
      <c r="F13" s="5" t="n">
        <v>0</v>
      </c>
      <c r="G13" s="5" t="n">
        <v>0</v>
      </c>
    </row>
    <row r="14" customFormat="false" ht="14.25" hidden="false" customHeight="false" outlineLevel="0" collapsed="false">
      <c r="A14" s="3" t="s">
        <v>21</v>
      </c>
      <c r="B14" s="4" t="s">
        <v>10</v>
      </c>
      <c r="C14" s="5" t="n">
        <v>0.86</v>
      </c>
      <c r="D14" s="5" t="n">
        <v>0.02</v>
      </c>
      <c r="E14" s="5" t="n">
        <v>0</v>
      </c>
      <c r="F14" s="5" t="n">
        <v>0.2</v>
      </c>
      <c r="G14" s="5" t="n">
        <v>0.03</v>
      </c>
    </row>
    <row r="15" customFormat="false" ht="18" hidden="false" customHeight="true" outlineLevel="0" collapsed="false">
      <c r="A15" s="6" t="s">
        <v>22</v>
      </c>
      <c r="B15" s="4" t="s">
        <v>23</v>
      </c>
      <c r="C15" s="5" t="n">
        <v>40</v>
      </c>
      <c r="D15" s="5" t="n">
        <v>2</v>
      </c>
      <c r="E15" s="5" t="n">
        <v>0.5</v>
      </c>
      <c r="F15" s="5" t="n">
        <v>9</v>
      </c>
      <c r="G15" s="5" t="n">
        <v>2</v>
      </c>
    </row>
    <row r="16" customFormat="false" ht="14.25" hidden="false" customHeight="false" outlineLevel="0" collapsed="false">
      <c r="A16" s="3" t="s">
        <v>24</v>
      </c>
      <c r="B16" s="4" t="s">
        <v>10</v>
      </c>
      <c r="C16" s="5" t="n">
        <v>1.6</v>
      </c>
      <c r="D16" s="5" t="n">
        <v>0.02</v>
      </c>
      <c r="E16" s="5" t="n">
        <v>0.15</v>
      </c>
      <c r="F16" s="5" t="n">
        <v>0.09</v>
      </c>
      <c r="G16" s="5" t="n">
        <v>0.07</v>
      </c>
    </row>
    <row r="17" customFormat="false" ht="14.25" hidden="false" customHeight="false" outlineLevel="0" collapsed="false">
      <c r="A17" s="3" t="s">
        <v>25</v>
      </c>
      <c r="B17" s="4" t="s">
        <v>10</v>
      </c>
      <c r="C17" s="5" t="n">
        <v>0.97</v>
      </c>
      <c r="D17" s="5" t="n">
        <v>0.09</v>
      </c>
      <c r="E17" s="5" t="n">
        <v>0.05</v>
      </c>
      <c r="F17" s="5" t="n">
        <v>0.04</v>
      </c>
      <c r="G17" s="5" t="n">
        <v>0</v>
      </c>
    </row>
    <row r="18" customFormat="false" ht="14.25" hidden="false" customHeight="false" outlineLevel="0" collapsed="false">
      <c r="A18" s="3" t="s">
        <v>26</v>
      </c>
      <c r="B18" s="4" t="s">
        <v>10</v>
      </c>
      <c r="C18" s="5" t="n">
        <v>0.55</v>
      </c>
      <c r="D18" s="5" t="n">
        <v>0.01</v>
      </c>
      <c r="E18" s="5" t="n">
        <v>0</v>
      </c>
      <c r="F18" s="5" t="n">
        <v>0.13</v>
      </c>
      <c r="G18" s="5" t="n">
        <v>0.02</v>
      </c>
    </row>
    <row r="19" customFormat="false" ht="14.25" hidden="false" customHeight="false" outlineLevel="0" collapsed="false">
      <c r="A19" s="3" t="s">
        <v>27</v>
      </c>
      <c r="B19" s="4" t="s">
        <v>10</v>
      </c>
      <c r="C19" s="5" t="n">
        <v>5.88</v>
      </c>
      <c r="D19" s="5" t="n">
        <v>0.25</v>
      </c>
      <c r="E19" s="5" t="n">
        <v>0.5</v>
      </c>
      <c r="F19" s="5" t="n">
        <v>0.2</v>
      </c>
      <c r="G19" s="5" t="n">
        <v>0.06</v>
      </c>
    </row>
    <row r="20" customFormat="false" ht="14.25" hidden="false" customHeight="false" outlineLevel="0" collapsed="false">
      <c r="A20" s="3" t="s">
        <v>28</v>
      </c>
      <c r="B20" s="4" t="s">
        <v>10</v>
      </c>
      <c r="C20" s="5" t="n">
        <v>2.5</v>
      </c>
      <c r="D20" s="5" t="n">
        <v>0.13</v>
      </c>
      <c r="E20" s="5" t="n">
        <v>0.04</v>
      </c>
      <c r="F20" s="5" t="n">
        <v>0.41</v>
      </c>
      <c r="G20" s="5" t="n">
        <v>0.07</v>
      </c>
    </row>
    <row r="21" customFormat="false" ht="14.25" hidden="false" customHeight="false" outlineLevel="0" collapsed="false">
      <c r="A21" s="3" t="s">
        <v>29</v>
      </c>
      <c r="B21" s="4" t="s">
        <v>10</v>
      </c>
      <c r="C21" s="5" t="n">
        <v>1.44</v>
      </c>
      <c r="D21" s="5" t="n">
        <v>0.18</v>
      </c>
      <c r="E21" s="5" t="n">
        <v>0.08</v>
      </c>
      <c r="F21" s="5" t="n">
        <v>0</v>
      </c>
      <c r="G21" s="5" t="n">
        <v>0</v>
      </c>
    </row>
    <row r="22" customFormat="false" ht="14.25" hidden="false" customHeight="false" outlineLevel="0" collapsed="false">
      <c r="A22" s="3" t="s">
        <v>30</v>
      </c>
      <c r="B22" s="4" t="s">
        <v>10</v>
      </c>
      <c r="C22" s="5" t="n">
        <v>8.84</v>
      </c>
      <c r="D22" s="5" t="n">
        <v>0</v>
      </c>
      <c r="E22" s="5" t="n">
        <v>1</v>
      </c>
      <c r="F22" s="5" t="n">
        <v>0</v>
      </c>
      <c r="G22" s="5" t="n">
        <v>0</v>
      </c>
    </row>
    <row r="23" customFormat="false" ht="14.25" hidden="false" customHeight="false" outlineLevel="0" collapsed="false">
      <c r="A23" s="3" t="s">
        <v>31</v>
      </c>
      <c r="B23" s="4" t="s">
        <v>10</v>
      </c>
      <c r="C23" s="5" t="n">
        <v>2.54</v>
      </c>
      <c r="D23" s="5" t="n">
        <v>0.17</v>
      </c>
      <c r="E23" s="5" t="n">
        <v>0.2</v>
      </c>
      <c r="F23" s="5" t="n">
        <v>0</v>
      </c>
      <c r="G23" s="5" t="n">
        <v>0</v>
      </c>
    </row>
    <row r="24" customFormat="false" ht="14.25" hidden="false" customHeight="false" outlineLevel="0" collapsed="false">
      <c r="A24" s="3" t="s">
        <v>32</v>
      </c>
      <c r="B24" s="4" t="s">
        <v>10</v>
      </c>
      <c r="C24" s="5" t="n">
        <v>4.71</v>
      </c>
      <c r="D24" s="5" t="n">
        <v>0.1</v>
      </c>
      <c r="E24" s="5" t="n">
        <v>0.2</v>
      </c>
      <c r="F24" s="5" t="n">
        <v>0.64</v>
      </c>
      <c r="G24" s="5" t="n">
        <v>0.07</v>
      </c>
    </row>
    <row r="25" customFormat="false" ht="14.25" hidden="false" customHeight="false" outlineLevel="0" collapsed="false">
      <c r="A25" s="3" t="s">
        <v>33</v>
      </c>
      <c r="B25" s="4" t="s">
        <v>10</v>
      </c>
      <c r="C25" s="5" t="n">
        <v>2.08</v>
      </c>
      <c r="D25" s="5" t="n">
        <v>0.2</v>
      </c>
      <c r="E25" s="5" t="n">
        <v>0.13</v>
      </c>
      <c r="F25" s="5" t="n">
        <v>0</v>
      </c>
      <c r="G25" s="5" t="n">
        <v>0</v>
      </c>
    </row>
    <row r="26" customFormat="false" ht="14.25" hidden="false" customHeight="false" outlineLevel="0" collapsed="false">
      <c r="A26" s="3" t="s">
        <v>34</v>
      </c>
      <c r="B26" s="4" t="s">
        <v>10</v>
      </c>
      <c r="C26" s="5" t="n">
        <v>1.3</v>
      </c>
      <c r="D26" s="5" t="n">
        <v>0.22</v>
      </c>
      <c r="E26" s="5" t="n">
        <v>0.05</v>
      </c>
      <c r="F26" s="5" t="n">
        <v>0</v>
      </c>
      <c r="G26" s="5" t="n">
        <v>0</v>
      </c>
    </row>
    <row r="27" customFormat="false" ht="14.25" hidden="false" customHeight="false" outlineLevel="0" collapsed="false">
      <c r="A27" s="3" t="s">
        <v>35</v>
      </c>
      <c r="B27" s="4" t="s">
        <v>10</v>
      </c>
      <c r="C27" s="5" t="n">
        <v>4.31</v>
      </c>
      <c r="D27" s="5" t="n">
        <v>0.38</v>
      </c>
      <c r="E27" s="5" t="n">
        <v>0.29</v>
      </c>
      <c r="F27" s="5" t="n">
        <v>0.04</v>
      </c>
      <c r="G27" s="5" t="n">
        <v>0</v>
      </c>
    </row>
    <row r="28" customFormat="false" ht="14.25" hidden="false" customHeight="false" outlineLevel="0" collapsed="false">
      <c r="A28" s="3" t="s">
        <v>36</v>
      </c>
      <c r="B28" s="4" t="s">
        <v>10</v>
      </c>
      <c r="C28" s="5" t="n">
        <v>0.98</v>
      </c>
      <c r="D28" s="5" t="n">
        <v>0.11</v>
      </c>
      <c r="E28" s="5" t="n">
        <v>0.04</v>
      </c>
      <c r="F28" s="5" t="n">
        <v>0.03</v>
      </c>
      <c r="G28" s="5" t="n">
        <v>0</v>
      </c>
    </row>
    <row r="29" customFormat="false" ht="14.25" hidden="false" customHeight="false" outlineLevel="0" collapsed="false">
      <c r="A29" s="3" t="s">
        <v>37</v>
      </c>
      <c r="B29" s="4" t="s">
        <v>10</v>
      </c>
      <c r="C29" s="5" t="n">
        <v>0.89</v>
      </c>
      <c r="D29" s="5" t="n">
        <v>0.01</v>
      </c>
      <c r="E29" s="5" t="n">
        <v>0</v>
      </c>
      <c r="F29" s="5" t="n">
        <v>0.23</v>
      </c>
      <c r="G29" s="5" t="n">
        <v>0.03</v>
      </c>
    </row>
    <row r="30" customFormat="false" ht="14.25" hidden="false" customHeight="false" outlineLevel="0" collapsed="false">
      <c r="A30" s="3" t="s">
        <v>38</v>
      </c>
      <c r="B30" s="4" t="s">
        <v>10</v>
      </c>
      <c r="C30" s="5" t="n">
        <v>0.99</v>
      </c>
      <c r="D30" s="5" t="n">
        <v>0.24</v>
      </c>
      <c r="E30" s="5" t="n">
        <v>0.003</v>
      </c>
      <c r="F30" s="5" t="n">
        <v>0</v>
      </c>
      <c r="G30" s="5" t="n">
        <v>0</v>
      </c>
    </row>
    <row r="31" customFormat="false" ht="14.25" hidden="false" customHeight="false" outlineLevel="0" collapsed="false">
      <c r="A31" s="3" t="s">
        <v>39</v>
      </c>
      <c r="B31" s="4" t="s">
        <v>10</v>
      </c>
      <c r="C31" s="5" t="n">
        <v>0.82</v>
      </c>
      <c r="D31" s="5" t="n">
        <v>0.18</v>
      </c>
      <c r="E31" s="5" t="n">
        <v>0.007</v>
      </c>
      <c r="F31" s="5" t="n">
        <v>0</v>
      </c>
      <c r="G31" s="5" t="n">
        <v>0</v>
      </c>
    </row>
    <row r="32" customFormat="false" ht="14.25" hidden="false" customHeight="false" outlineLevel="0" collapsed="false">
      <c r="A32" s="3" t="s">
        <v>40</v>
      </c>
      <c r="B32" s="4" t="s">
        <v>10</v>
      </c>
      <c r="C32" s="5" t="n">
        <v>3.5</v>
      </c>
      <c r="D32" s="5" t="n">
        <v>0.9</v>
      </c>
      <c r="E32" s="5" t="n">
        <v>0</v>
      </c>
      <c r="F32" s="5" t="n">
        <v>0</v>
      </c>
      <c r="G32" s="5" t="n">
        <v>0</v>
      </c>
    </row>
    <row r="33" customFormat="false" ht="14.25" hidden="false" customHeight="false" outlineLevel="0" collapsed="false">
      <c r="A33" s="3" t="s">
        <v>41</v>
      </c>
      <c r="B33" s="4" t="s">
        <v>10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</row>
    <row r="34" customFormat="false" ht="14.25" hidden="false" customHeight="false" outlineLevel="0" collapsed="false">
      <c r="A34" s="3" t="s">
        <v>42</v>
      </c>
      <c r="B34" s="4" t="s">
        <v>10</v>
      </c>
      <c r="C34" s="5" t="n">
        <v>0.13</v>
      </c>
      <c r="D34" s="5" t="n">
        <v>0.004</v>
      </c>
      <c r="E34" s="5" t="n">
        <v>0.011</v>
      </c>
      <c r="F34" s="5" t="n">
        <v>0.003</v>
      </c>
      <c r="G34" s="5" t="n">
        <v>0.002</v>
      </c>
    </row>
    <row r="35" customFormat="false" ht="14.25" hidden="false" customHeight="false" outlineLevel="0" collapsed="false">
      <c r="A35" s="3" t="s">
        <v>43</v>
      </c>
      <c r="B35" s="4" t="s">
        <v>44</v>
      </c>
      <c r="C35" s="5" t="n">
        <v>0.5417</v>
      </c>
      <c r="D35" s="5" t="n">
        <v>0.0333</v>
      </c>
      <c r="E35" s="5" t="n">
        <v>0.0208</v>
      </c>
      <c r="F35" s="5" t="n">
        <v>0.05</v>
      </c>
      <c r="G35" s="5" t="n">
        <v>0</v>
      </c>
    </row>
    <row r="36" customFormat="false" ht="14.25" hidden="false" customHeight="false" outlineLevel="0" collapsed="false">
      <c r="A36" s="3" t="s">
        <v>45</v>
      </c>
      <c r="B36" s="4" t="s">
        <v>10</v>
      </c>
      <c r="C36" s="5" t="n">
        <v>0.52</v>
      </c>
      <c r="D36" s="5" t="n">
        <v>0.003</v>
      </c>
      <c r="E36" s="5" t="n">
        <v>0.002</v>
      </c>
      <c r="F36" s="5" t="n">
        <v>0.14</v>
      </c>
      <c r="G36" s="5" t="n">
        <v>0.024</v>
      </c>
    </row>
    <row r="37" customFormat="false" ht="14.25" hidden="false" customHeight="false" outlineLevel="0" collapsed="false">
      <c r="A37" s="3" t="s">
        <v>46</v>
      </c>
      <c r="B37" s="4" t="s">
        <v>10</v>
      </c>
      <c r="C37" s="5" t="n">
        <v>0.5</v>
      </c>
      <c r="D37" s="5" t="n">
        <v>0.005</v>
      </c>
      <c r="E37" s="5" t="n">
        <v>0.001</v>
      </c>
      <c r="F37" s="5" t="n">
        <v>0.13</v>
      </c>
      <c r="G37" s="5" t="n">
        <v>0.014</v>
      </c>
    </row>
    <row r="38" customFormat="false" ht="14.25" hidden="false" customHeight="false" outlineLevel="0" collapsed="false">
      <c r="A38" s="3" t="s">
        <v>47</v>
      </c>
      <c r="B38" s="4" t="s">
        <v>10</v>
      </c>
      <c r="C38" s="5" t="n">
        <v>0.3</v>
      </c>
      <c r="D38" s="5" t="n">
        <v>0.006</v>
      </c>
      <c r="E38" s="5" t="n">
        <v>0.0015</v>
      </c>
      <c r="F38" s="5" t="n">
        <v>0.08</v>
      </c>
      <c r="G38" s="5" t="n">
        <v>0.004</v>
      </c>
    </row>
    <row r="39" customFormat="false" ht="14.25" hidden="false" customHeight="false" outlineLevel="0" collapsed="false">
      <c r="A39" s="3" t="s">
        <v>48</v>
      </c>
      <c r="B39" s="4" t="s">
        <v>10</v>
      </c>
      <c r="C39" s="5" t="n">
        <v>0.23</v>
      </c>
      <c r="D39" s="5" t="n">
        <v>0.029</v>
      </c>
      <c r="E39" s="5" t="n">
        <v>0.004</v>
      </c>
      <c r="F39" s="5" t="n">
        <v>0.036</v>
      </c>
      <c r="G39" s="5" t="n">
        <v>0.022</v>
      </c>
    </row>
    <row r="40" customFormat="false" ht="14.25" hidden="false" customHeight="false" outlineLevel="0" collapsed="false">
      <c r="A40" s="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604A7B"/>
    <pageSetUpPr fitToPage="false"/>
  </sheetPr>
  <dimension ref="A1:H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.89"/>
    <col collapsed="false" customWidth="true" hidden="false" outlineLevel="0" max="3" min="3" style="0" width="14.44"/>
    <col collapsed="false" customWidth="true" hidden="false" outlineLevel="0" max="8" min="4" style="0" width="12"/>
  </cols>
  <sheetData>
    <row r="1" customFormat="false" ht="24" hidden="false" customHeight="true" outlineLevel="0" collapsed="false">
      <c r="A1" s="8" t="s">
        <v>50</v>
      </c>
    </row>
    <row r="2" customFormat="false" ht="14.25" hidden="false" customHeight="false" outlineLevel="0" collapsed="false">
      <c r="A2" s="2" t="s">
        <v>0</v>
      </c>
      <c r="B2" s="2" t="s">
        <v>51</v>
      </c>
      <c r="C2" s="2" t="s">
        <v>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</row>
    <row r="3" customFormat="false" ht="14.25" hidden="false" customHeight="false" outlineLevel="0" collapsed="false">
      <c r="A3" s="9" t="s">
        <v>57</v>
      </c>
      <c r="B3" s="9"/>
      <c r="C3" s="9"/>
      <c r="D3" s="9"/>
      <c r="E3" s="9"/>
      <c r="F3" s="9"/>
      <c r="G3" s="9"/>
      <c r="H3" s="9"/>
    </row>
    <row r="4" customFormat="false" ht="14.25" hidden="false" customHeight="false" outlineLevel="0" collapsed="false">
      <c r="A4" s="9" t="s">
        <v>58</v>
      </c>
      <c r="B4" s="9"/>
      <c r="C4" s="9"/>
      <c r="D4" s="9"/>
      <c r="E4" s="9"/>
      <c r="F4" s="9"/>
      <c r="G4" s="9"/>
      <c r="H4" s="9"/>
    </row>
    <row r="5" customFormat="false" ht="14.25" hidden="false" customHeight="false" outlineLevel="0" collapsed="false">
      <c r="A5" s="10" t="s">
        <v>26</v>
      </c>
      <c r="B5" s="11" t="n">
        <v>120</v>
      </c>
      <c r="C5" s="4" t="str">
        <f aca="false">INDEX(Reference!$B$2:$B$39,MATCH($A5,Reference!$A$2:$A$39,0))</f>
        <v>gram</v>
      </c>
      <c r="D5" s="12" t="n">
        <f aca="false">$B5*INDEX(Reference!$C$2:$C$39,MATCH($A5,Reference!$A$2:$A$39,0))</f>
        <v>66</v>
      </c>
      <c r="E5" s="12" t="n">
        <f aca="false">$B5*INDEX(Reference!$D$2:$D$39,MATCH($A5,Reference!$A$2:$A$39,0))</f>
        <v>1.2</v>
      </c>
      <c r="F5" s="12" t="n">
        <f aca="false">$B5*INDEX(Reference!$E$2:$E$39,MATCH($A5,Reference!$A$2:$A$39,0))</f>
        <v>0</v>
      </c>
      <c r="G5" s="12" t="n">
        <f aca="false">$B5*INDEX(Reference!$F$2:$F$39,MATCH($A5,Reference!$A$2:$A$39,0))</f>
        <v>15.6</v>
      </c>
      <c r="H5" s="12" t="n">
        <f aca="false">$B5*INDEX(Reference!$G$2:$G$39,MATCH($A5,Reference!$A$2:$A$39,0))</f>
        <v>2.4</v>
      </c>
    </row>
    <row r="6" customFormat="false" ht="14.25" hidden="false" customHeight="false" outlineLevel="0" collapsed="false">
      <c r="A6" s="10" t="s">
        <v>37</v>
      </c>
      <c r="B6" s="11" t="n">
        <v>120</v>
      </c>
      <c r="C6" s="4" t="str">
        <f aca="false">INDEX(Reference!$B$2:$B$39,MATCH($A6,Reference!$A$2:$A$39,0))</f>
        <v>gram</v>
      </c>
      <c r="D6" s="12" t="n">
        <f aca="false">$B6*INDEX(Reference!$C$2:$C$39,MATCH($A6,Reference!$A$2:$A$39,0))</f>
        <v>106.8</v>
      </c>
      <c r="E6" s="12" t="n">
        <f aca="false">$B6*INDEX(Reference!$D$2:$D$39,MATCH($A6,Reference!$A$2:$A$39,0))</f>
        <v>1.2</v>
      </c>
      <c r="F6" s="12" t="n">
        <f aca="false">$B6*INDEX(Reference!$E$2:$E$39,MATCH($A6,Reference!$A$2:$A$39,0))</f>
        <v>0</v>
      </c>
      <c r="G6" s="12" t="n">
        <f aca="false">$B6*INDEX(Reference!$F$2:$F$39,MATCH($A6,Reference!$A$2:$A$39,0))</f>
        <v>27.6</v>
      </c>
      <c r="H6" s="12" t="n">
        <f aca="false">$B6*INDEX(Reference!$G$2:$G$39,MATCH($A6,Reference!$A$2:$A$39,0))</f>
        <v>3.6</v>
      </c>
    </row>
    <row r="7" customFormat="false" ht="14.25" hidden="false" customHeight="false" outlineLevel="0" collapsed="false">
      <c r="A7" s="10" t="s">
        <v>13</v>
      </c>
      <c r="B7" s="11" t="n">
        <v>400</v>
      </c>
      <c r="C7" s="4" t="str">
        <f aca="false">INDEX(Reference!$B$2:$B$39,MATCH($A7,Reference!$A$2:$A$39,0))</f>
        <v>gram</v>
      </c>
      <c r="D7" s="12" t="n">
        <f aca="false">$B7*INDEX(Reference!$C$2:$C$39,MATCH($A7,Reference!$A$2:$A$39,0))</f>
        <v>244</v>
      </c>
      <c r="E7" s="12" t="n">
        <f aca="false">$B7*INDEX(Reference!$D$2:$D$39,MATCH($A7,Reference!$A$2:$A$39,0))</f>
        <v>12</v>
      </c>
      <c r="F7" s="12" t="n">
        <f aca="false">$B7*INDEX(Reference!$E$2:$E$39,MATCH($A7,Reference!$A$2:$A$39,0))</f>
        <v>12</v>
      </c>
      <c r="G7" s="12" t="n">
        <f aca="false">$B7*INDEX(Reference!$F$2:$F$39,MATCH($A7,Reference!$A$2:$A$39,0))</f>
        <v>20</v>
      </c>
      <c r="H7" s="12" t="n">
        <f aca="false">$B7*INDEX(Reference!$G$2:$G$39,MATCH($A7,Reference!$A$2:$A$39,0))</f>
        <v>0</v>
      </c>
    </row>
    <row r="8" customFormat="false" ht="14.25" hidden="false" customHeight="false" outlineLevel="0" collapsed="false">
      <c r="A8" s="10" t="s">
        <v>11</v>
      </c>
      <c r="B8" s="11" t="n">
        <v>45</v>
      </c>
      <c r="C8" s="4" t="str">
        <f aca="false">INDEX(Reference!$B$2:$B$39,MATCH($A8,Reference!$A$2:$A$39,0))</f>
        <v>gram</v>
      </c>
      <c r="D8" s="12" t="n">
        <f aca="false">$B8*INDEX(Reference!$C$2:$C$39,MATCH($A8,Reference!$A$2:$A$39,0))</f>
        <v>158.85</v>
      </c>
      <c r="E8" s="12" t="n">
        <f aca="false">$B8*INDEX(Reference!$D$2:$D$39,MATCH($A8,Reference!$A$2:$A$39,0))</f>
        <v>29.25</v>
      </c>
      <c r="F8" s="12" t="n">
        <f aca="false">$B8*INDEX(Reference!$E$2:$E$39,MATCH($A8,Reference!$A$2:$A$39,0))</f>
        <v>3.15</v>
      </c>
      <c r="G8" s="12" t="n">
        <f aca="false">$B8*INDEX(Reference!$F$2:$F$39,MATCH($A8,Reference!$A$2:$A$39,0))</f>
        <v>6.75</v>
      </c>
      <c r="H8" s="12" t="n">
        <f aca="false">$B8*INDEX(Reference!$G$2:$G$39,MATCH($A8,Reference!$A$2:$A$39,0))</f>
        <v>0</v>
      </c>
    </row>
    <row r="9" customFormat="false" ht="14.25" hidden="false" customHeight="false" outlineLevel="0" collapsed="false">
      <c r="A9" s="10" t="s">
        <v>48</v>
      </c>
      <c r="B9" s="11" t="n">
        <v>30</v>
      </c>
      <c r="C9" s="4" t="str">
        <f aca="false">INDEX(Reference!$B$2:$B$39,MATCH($A9,Reference!$A$2:$A$39,0))</f>
        <v>gram</v>
      </c>
      <c r="D9" s="12" t="n">
        <f aca="false">$B9*INDEX(Reference!$C$2:$C$39,MATCH($A9,Reference!$A$2:$A$39,0))</f>
        <v>6.9</v>
      </c>
      <c r="E9" s="12" t="n">
        <f aca="false">$B9*INDEX(Reference!$D$2:$D$39,MATCH($A9,Reference!$A$2:$A$39,0))</f>
        <v>0.87</v>
      </c>
      <c r="F9" s="12" t="n">
        <f aca="false">$B9*INDEX(Reference!$E$2:$E$39,MATCH($A9,Reference!$A$2:$A$39,0))</f>
        <v>0.12</v>
      </c>
      <c r="G9" s="12" t="n">
        <f aca="false">$B9*INDEX(Reference!$F$2:$F$39,MATCH($A9,Reference!$A$2:$A$39,0))</f>
        <v>1.08</v>
      </c>
      <c r="H9" s="12" t="n">
        <f aca="false">$B9*INDEX(Reference!$G$2:$G$39,MATCH($A9,Reference!$A$2:$A$39,0))</f>
        <v>0.66</v>
      </c>
    </row>
    <row r="10" customFormat="false" ht="14.25" hidden="false" customHeight="false" outlineLevel="0" collapsed="false">
      <c r="A10" s="13" t="s">
        <v>59</v>
      </c>
      <c r="D10" s="14" t="n">
        <f aca="false">SUM(D5:D9)</f>
        <v>582.55</v>
      </c>
      <c r="E10" s="14" t="n">
        <f aca="false">SUM(E5:E9)</f>
        <v>44.52</v>
      </c>
      <c r="F10" s="14" t="n">
        <f aca="false">SUM(F5:F9)</f>
        <v>15.27</v>
      </c>
      <c r="G10" s="14" t="n">
        <f aca="false">SUM(G5:G9)</f>
        <v>71.03</v>
      </c>
      <c r="H10" s="14" t="n">
        <f aca="false">SUM(H5:H9)</f>
        <v>6.66</v>
      </c>
    </row>
    <row r="11" customFormat="false" ht="14.25" hidden="false" customHeight="false" outlineLevel="0" collapsed="false">
      <c r="A11" s="9" t="s">
        <v>60</v>
      </c>
      <c r="B11" s="9"/>
      <c r="C11" s="9"/>
      <c r="D11" s="9"/>
      <c r="E11" s="9"/>
      <c r="F11" s="9"/>
      <c r="G11" s="9"/>
      <c r="H11" s="9"/>
    </row>
    <row r="12" customFormat="false" ht="14.25" hidden="false" customHeight="false" outlineLevel="0" collapsed="false">
      <c r="A12" s="10" t="s">
        <v>12</v>
      </c>
      <c r="B12" s="11" t="n">
        <v>80</v>
      </c>
      <c r="C12" s="4" t="str">
        <f aca="false">INDEX(Reference!$B$2:$B$39,MATCH($A12,Reference!$A$2:$A$39,0))</f>
        <v>gram</v>
      </c>
      <c r="D12" s="12" t="n">
        <f aca="false">$B12*INDEX(Reference!$C$2:$C$39,MATCH($A12,Reference!$A$2:$A$39,0))</f>
        <v>312</v>
      </c>
      <c r="E12" s="12" t="n">
        <f aca="false">$B12*INDEX(Reference!$D$2:$D$39,MATCH($A12,Reference!$A$2:$A$39,0))</f>
        <v>13.6</v>
      </c>
      <c r="F12" s="12" t="n">
        <f aca="false">$B12*INDEX(Reference!$E$2:$E$39,MATCH($A12,Reference!$A$2:$A$39,0))</f>
        <v>5.6</v>
      </c>
      <c r="G12" s="12" t="n">
        <f aca="false">$B12*INDEX(Reference!$F$2:$F$39,MATCH($A12,Reference!$A$2:$A$39,0))</f>
        <v>52.8</v>
      </c>
      <c r="H12" s="12" t="n">
        <f aca="false">$B12*INDEX(Reference!$G$2:$G$39,MATCH($A12,Reference!$A$2:$A$39,0))</f>
        <v>8</v>
      </c>
    </row>
    <row r="13" customFormat="false" ht="14.25" hidden="false" customHeight="false" outlineLevel="0" collapsed="false">
      <c r="A13" s="10" t="s">
        <v>13</v>
      </c>
      <c r="B13" s="11" t="n">
        <v>150</v>
      </c>
      <c r="C13" s="4" t="str">
        <f aca="false">INDEX(Reference!$B$2:$B$39,MATCH($A13,Reference!$A$2:$A$39,0))</f>
        <v>gram</v>
      </c>
      <c r="D13" s="12" t="n">
        <f aca="false">$B13*INDEX(Reference!$C$2:$C$39,MATCH($A13,Reference!$A$2:$A$39,0))</f>
        <v>91.5</v>
      </c>
      <c r="E13" s="12" t="n">
        <f aca="false">$B13*INDEX(Reference!$D$2:$D$39,MATCH($A13,Reference!$A$2:$A$39,0))</f>
        <v>4.5</v>
      </c>
      <c r="F13" s="12" t="n">
        <f aca="false">$B13*INDEX(Reference!$E$2:$E$39,MATCH($A13,Reference!$A$2:$A$39,0))</f>
        <v>4.5</v>
      </c>
      <c r="G13" s="12" t="n">
        <f aca="false">$B13*INDEX(Reference!$F$2:$F$39,MATCH($A13,Reference!$A$2:$A$39,0))</f>
        <v>7.5</v>
      </c>
      <c r="H13" s="12" t="n">
        <f aca="false">$B13*INDEX(Reference!$G$2:$G$39,MATCH($A13,Reference!$A$2:$A$39,0))</f>
        <v>0</v>
      </c>
    </row>
    <row r="14" customFormat="false" ht="14.25" hidden="false" customHeight="false" outlineLevel="0" collapsed="false">
      <c r="A14" s="10" t="s">
        <v>17</v>
      </c>
      <c r="B14" s="11" t="n">
        <v>150</v>
      </c>
      <c r="C14" s="4" t="str">
        <f aca="false">INDEX(Reference!$B$2:$B$39,MATCH($A14,Reference!$A$2:$A$39,0))</f>
        <v>gram</v>
      </c>
      <c r="D14" s="12" t="n">
        <f aca="false">$B14*INDEX(Reference!$C$2:$C$39,MATCH($A14,Reference!$A$2:$A$39,0))</f>
        <v>88.5</v>
      </c>
      <c r="E14" s="12" t="n">
        <f aca="false">$B14*INDEX(Reference!$D$2:$D$39,MATCH($A14,Reference!$A$2:$A$39,0))</f>
        <v>15</v>
      </c>
      <c r="F14" s="12" t="n">
        <f aca="false">$B14*INDEX(Reference!$E$2:$E$39,MATCH($A14,Reference!$A$2:$A$39,0))</f>
        <v>0</v>
      </c>
      <c r="G14" s="12" t="n">
        <f aca="false">$B14*INDEX(Reference!$F$2:$F$39,MATCH($A14,Reference!$A$2:$A$39,0))</f>
        <v>6</v>
      </c>
      <c r="H14" s="12" t="n">
        <f aca="false">$B14*INDEX(Reference!$G$2:$G$39,MATCH($A14,Reference!$A$2:$A$39,0))</f>
        <v>0</v>
      </c>
    </row>
    <row r="15" customFormat="false" ht="14.25" hidden="false" customHeight="false" outlineLevel="0" collapsed="false">
      <c r="A15" s="10" t="s">
        <v>37</v>
      </c>
      <c r="B15" s="11" t="n">
        <v>80</v>
      </c>
      <c r="C15" s="4" t="str">
        <f aca="false">INDEX(Reference!$B$2:$B$39,MATCH($A15,Reference!$A$2:$A$39,0))</f>
        <v>gram</v>
      </c>
      <c r="D15" s="12" t="n">
        <f aca="false">$B15*INDEX(Reference!$C$2:$C$39,MATCH($A15,Reference!$A$2:$A$39,0))</f>
        <v>71.2</v>
      </c>
      <c r="E15" s="12" t="n">
        <f aca="false">$B15*INDEX(Reference!$D$2:$D$39,MATCH($A15,Reference!$A$2:$A$39,0))</f>
        <v>0.8</v>
      </c>
      <c r="F15" s="12" t="n">
        <f aca="false">$B15*INDEX(Reference!$E$2:$E$39,MATCH($A15,Reference!$A$2:$A$39,0))</f>
        <v>0</v>
      </c>
      <c r="G15" s="12" t="n">
        <f aca="false">$B15*INDEX(Reference!$F$2:$F$39,MATCH($A15,Reference!$A$2:$A$39,0))</f>
        <v>18.4</v>
      </c>
      <c r="H15" s="12" t="n">
        <f aca="false">$B15*INDEX(Reference!$G$2:$G$39,MATCH($A15,Reference!$A$2:$A$39,0))</f>
        <v>2.4</v>
      </c>
    </row>
    <row r="16" customFormat="false" ht="14.25" hidden="false" customHeight="false" outlineLevel="0" collapsed="false">
      <c r="A16" s="10" t="s">
        <v>18</v>
      </c>
      <c r="B16" s="11" t="n">
        <v>40</v>
      </c>
      <c r="C16" s="4" t="str">
        <f aca="false">INDEX(Reference!$B$2:$B$39,MATCH($A16,Reference!$A$2:$A$39,0))</f>
        <v>gram</v>
      </c>
      <c r="D16" s="12" t="n">
        <f aca="false">$B16*INDEX(Reference!$C$2:$C$39,MATCH($A16,Reference!$A$2:$A$39,0))</f>
        <v>22.8</v>
      </c>
      <c r="E16" s="12" t="n">
        <f aca="false">$B16*INDEX(Reference!$D$2:$D$39,MATCH($A16,Reference!$A$2:$A$39,0))</f>
        <v>0.4</v>
      </c>
      <c r="F16" s="12" t="n">
        <f aca="false">$B16*INDEX(Reference!$E$2:$E$39,MATCH($A16,Reference!$A$2:$A$39,0))</f>
        <v>0</v>
      </c>
      <c r="G16" s="12" t="n">
        <f aca="false">$B16*INDEX(Reference!$F$2:$F$39,MATCH($A16,Reference!$A$2:$A$39,0))</f>
        <v>6</v>
      </c>
      <c r="H16" s="12" t="n">
        <f aca="false">$B16*INDEX(Reference!$G$2:$G$39,MATCH($A16,Reference!$A$2:$A$39,0))</f>
        <v>0.8</v>
      </c>
    </row>
    <row r="17" customFormat="false" ht="14.25" hidden="false" customHeight="false" outlineLevel="0" collapsed="false">
      <c r="A17" s="10" t="s">
        <v>11</v>
      </c>
      <c r="B17" s="11" t="n">
        <v>15</v>
      </c>
      <c r="C17" s="4" t="str">
        <f aca="false">INDEX(Reference!$B$2:$B$39,MATCH($A17,Reference!$A$2:$A$39,0))</f>
        <v>gram</v>
      </c>
      <c r="D17" s="12" t="n">
        <f aca="false">$B17*INDEX(Reference!$C$2:$C$39,MATCH($A17,Reference!$A$2:$A$39,0))</f>
        <v>52.95</v>
      </c>
      <c r="E17" s="12" t="n">
        <f aca="false">$B17*INDEX(Reference!$D$2:$D$39,MATCH($A17,Reference!$A$2:$A$39,0))</f>
        <v>9.75</v>
      </c>
      <c r="F17" s="12" t="n">
        <f aca="false">$B17*INDEX(Reference!$E$2:$E$39,MATCH($A17,Reference!$A$2:$A$39,0))</f>
        <v>1.05</v>
      </c>
      <c r="G17" s="12" t="n">
        <f aca="false">$B17*INDEX(Reference!$F$2:$F$39,MATCH($A17,Reference!$A$2:$A$39,0))</f>
        <v>2.25</v>
      </c>
      <c r="H17" s="12" t="n">
        <f aca="false">$B17*INDEX(Reference!$G$2:$G$39,MATCH($A17,Reference!$A$2:$A$39,0))</f>
        <v>0</v>
      </c>
    </row>
    <row r="18" customFormat="false" ht="14.25" hidden="false" customHeight="false" outlineLevel="0" collapsed="false">
      <c r="A18" s="13" t="s">
        <v>61</v>
      </c>
      <c r="D18" s="14" t="n">
        <f aca="false">SUM(D12:D17)</f>
        <v>638.95</v>
      </c>
      <c r="E18" s="14" t="n">
        <f aca="false">SUM(E12:E17)</f>
        <v>44.05</v>
      </c>
      <c r="F18" s="14" t="n">
        <f aca="false">SUM(F12:F17)</f>
        <v>11.15</v>
      </c>
      <c r="G18" s="14" t="n">
        <f aca="false">SUM(G12:G17)</f>
        <v>92.95</v>
      </c>
      <c r="H18" s="14" t="n">
        <f aca="false">SUM(H12:H17)</f>
        <v>11.2</v>
      </c>
    </row>
    <row r="19" customFormat="false" ht="14.25" hidden="false" customHeight="false" outlineLevel="0" collapsed="false">
      <c r="A19" s="9" t="s">
        <v>62</v>
      </c>
      <c r="B19" s="9"/>
      <c r="C19" s="9"/>
      <c r="D19" s="9"/>
      <c r="E19" s="9"/>
      <c r="F19" s="9"/>
      <c r="G19" s="9"/>
      <c r="H19" s="9"/>
    </row>
    <row r="20" customFormat="false" ht="14.25" hidden="false" customHeight="false" outlineLevel="0" collapsed="false">
      <c r="A20" s="10" t="s">
        <v>7</v>
      </c>
      <c r="B20" s="11" t="n">
        <v>4</v>
      </c>
      <c r="C20" s="4" t="str">
        <f aca="false">INDEX(Reference!$B$2:$B$39,MATCH($A20,Reference!$A$2:$A$39,0))</f>
        <v>#</v>
      </c>
      <c r="D20" s="12" t="n">
        <f aca="false">$B20*INDEX(Reference!$C$2:$C$39,MATCH($A20,Reference!$A$2:$A$39,0))</f>
        <v>288</v>
      </c>
      <c r="E20" s="12" t="n">
        <f aca="false">$B20*INDEX(Reference!$D$2:$D$39,MATCH($A20,Reference!$A$2:$A$39,0))</f>
        <v>25.2</v>
      </c>
      <c r="F20" s="12" t="n">
        <f aca="false">$B20*INDEX(Reference!$E$2:$E$39,MATCH($A20,Reference!$A$2:$A$39,0))</f>
        <v>19.2</v>
      </c>
      <c r="G20" s="12" t="n">
        <f aca="false">$B20*INDEX(Reference!$F$2:$F$39,MATCH($A20,Reference!$A$2:$A$39,0))</f>
        <v>1.6</v>
      </c>
      <c r="H20" s="12" t="n">
        <f aca="false">$B20*INDEX(Reference!$G$2:$G$39,MATCH($A20,Reference!$A$2:$A$39,0))</f>
        <v>0</v>
      </c>
    </row>
    <row r="21" customFormat="false" ht="14.25" hidden="false" customHeight="false" outlineLevel="0" collapsed="false">
      <c r="A21" s="10" t="s">
        <v>28</v>
      </c>
      <c r="B21" s="11" t="n">
        <v>40</v>
      </c>
      <c r="C21" s="4" t="str">
        <f aca="false">INDEX(Reference!$B$2:$B$39,MATCH($A21,Reference!$A$2:$A$39,0))</f>
        <v>gram</v>
      </c>
      <c r="D21" s="12" t="n">
        <f aca="false">$B21*INDEX(Reference!$C$2:$C$39,MATCH($A21,Reference!$A$2:$A$39,0))</f>
        <v>100</v>
      </c>
      <c r="E21" s="12" t="n">
        <f aca="false">$B21*INDEX(Reference!$D$2:$D$39,MATCH($A21,Reference!$A$2:$A$39,0))</f>
        <v>5.2</v>
      </c>
      <c r="F21" s="12" t="n">
        <f aca="false">$B21*INDEX(Reference!$E$2:$E$39,MATCH($A21,Reference!$A$2:$A$39,0))</f>
        <v>1.6</v>
      </c>
      <c r="G21" s="12" t="n">
        <f aca="false">$B21*INDEX(Reference!$F$2:$F$39,MATCH($A21,Reference!$A$2:$A$39,0))</f>
        <v>16.4</v>
      </c>
      <c r="H21" s="12" t="n">
        <f aca="false">$B21*INDEX(Reference!$G$2:$G$39,MATCH($A21,Reference!$A$2:$A$39,0))</f>
        <v>2.8</v>
      </c>
    </row>
    <row r="22" customFormat="false" ht="27" hidden="false" customHeight="true" outlineLevel="0" collapsed="false">
      <c r="A22" s="10" t="s">
        <v>24</v>
      </c>
      <c r="B22" s="11" t="n">
        <v>120</v>
      </c>
      <c r="C22" s="4" t="str">
        <f aca="false">INDEX(Reference!$B$2:$B$39,MATCH($A22,Reference!$A$2:$A$39,0))</f>
        <v>gram</v>
      </c>
      <c r="D22" s="12" t="n">
        <f aca="false">$B22*INDEX(Reference!$C$2:$C$39,MATCH($A22,Reference!$A$2:$A$39,0))</f>
        <v>192</v>
      </c>
      <c r="E22" s="12" t="n">
        <f aca="false">$B22*INDEX(Reference!$D$2:$D$39,MATCH($A22,Reference!$A$2:$A$39,0))</f>
        <v>2.4</v>
      </c>
      <c r="F22" s="12" t="n">
        <f aca="false">$B22*INDEX(Reference!$E$2:$E$39,MATCH($A22,Reference!$A$2:$A$39,0))</f>
        <v>18</v>
      </c>
      <c r="G22" s="12" t="n">
        <f aca="false">$B22*INDEX(Reference!$F$2:$F$39,MATCH($A22,Reference!$A$2:$A$39,0))</f>
        <v>10.8</v>
      </c>
      <c r="H22" s="12" t="n">
        <f aca="false">$B22*INDEX(Reference!$G$2:$G$39,MATCH($A22,Reference!$A$2:$A$39,0))</f>
        <v>8.4</v>
      </c>
    </row>
    <row r="23" customFormat="false" ht="14.25" hidden="false" customHeight="false" outlineLevel="0" collapsed="false">
      <c r="A23" s="13" t="s">
        <v>63</v>
      </c>
      <c r="D23" s="14" t="n">
        <f aca="false">SUM(D20:D22)</f>
        <v>580</v>
      </c>
      <c r="E23" s="14" t="n">
        <f aca="false">SUM(E20:E22)</f>
        <v>32.8</v>
      </c>
      <c r="F23" s="14" t="n">
        <f aca="false">SUM(F20:F22)</f>
        <v>38.8</v>
      </c>
      <c r="G23" s="14" t="n">
        <f aca="false">SUM(G20:G22)</f>
        <v>28.8</v>
      </c>
      <c r="H23" s="14" t="n">
        <f aca="false">SUM(H20:H22)</f>
        <v>11.2</v>
      </c>
    </row>
    <row r="24" customFormat="false" ht="14.25" hidden="false" customHeight="false" outlineLevel="0" collapsed="false">
      <c r="A24" s="3"/>
      <c r="B24" s="11"/>
      <c r="C24" s="4"/>
      <c r="D24" s="12"/>
      <c r="E24" s="12"/>
      <c r="F24" s="12"/>
      <c r="G24" s="12"/>
      <c r="H24" s="12"/>
    </row>
    <row r="25" customFormat="false" ht="14.25" hidden="false" customHeight="false" outlineLevel="0" collapsed="false">
      <c r="A25" s="9" t="s">
        <v>64</v>
      </c>
      <c r="B25" s="9"/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A26" s="9" t="s">
        <v>58</v>
      </c>
      <c r="B26" s="9"/>
      <c r="C26" s="9"/>
      <c r="D26" s="9"/>
      <c r="E26" s="9"/>
      <c r="F26" s="9"/>
      <c r="G26" s="9"/>
      <c r="H26" s="9"/>
    </row>
    <row r="27" customFormat="false" ht="14.25" hidden="false" customHeight="false" outlineLevel="0" collapsed="false">
      <c r="A27" s="10" t="s">
        <v>14</v>
      </c>
      <c r="B27" s="11" t="n">
        <v>260</v>
      </c>
      <c r="C27" s="4" t="str">
        <f aca="false">INDEX(Reference!$B$2:$B$39,MATCH($A27,Reference!$A$2:$A$39,0))</f>
        <v>gram</v>
      </c>
      <c r="D27" s="12" t="n">
        <f aca="false">$B27*INDEX(Reference!$C$2:$C$39,MATCH($A27,Reference!$A$2:$A$39,0))</f>
        <v>312</v>
      </c>
      <c r="E27" s="12" t="n">
        <f aca="false">$B27*INDEX(Reference!$D$2:$D$39,MATCH($A27,Reference!$A$2:$A$39,0))</f>
        <v>59.8</v>
      </c>
      <c r="F27" s="12" t="n">
        <f aca="false">$B27*INDEX(Reference!$E$2:$E$39,MATCH($A27,Reference!$A$2:$A$39,0))</f>
        <v>7.8</v>
      </c>
      <c r="G27" s="12" t="n">
        <f aca="false">$B27*INDEX(Reference!$F$2:$F$39,MATCH($A27,Reference!$A$2:$A$39,0))</f>
        <v>0</v>
      </c>
      <c r="H27" s="12" t="n">
        <f aca="false">$B27*INDEX(Reference!$G$2:$G$39,MATCH($A27,Reference!$A$2:$A$39,0))</f>
        <v>0</v>
      </c>
    </row>
    <row r="28" customFormat="false" ht="14.25" hidden="false" customHeight="false" outlineLevel="0" collapsed="false">
      <c r="A28" s="10" t="s">
        <v>21</v>
      </c>
      <c r="B28" s="11" t="n">
        <v>220</v>
      </c>
      <c r="C28" s="4" t="str">
        <f aca="false">INDEX(Reference!$B$2:$B$39,MATCH($A28,Reference!$A$2:$A$39,0))</f>
        <v>gram</v>
      </c>
      <c r="D28" s="12" t="n">
        <f aca="false">$B28*INDEX(Reference!$C$2:$C$39,MATCH($A28,Reference!$A$2:$A$39,0))</f>
        <v>189.2</v>
      </c>
      <c r="E28" s="12" t="n">
        <f aca="false">$B28*INDEX(Reference!$D$2:$D$39,MATCH($A28,Reference!$A$2:$A$39,0))</f>
        <v>4.4</v>
      </c>
      <c r="F28" s="12" t="n">
        <f aca="false">$B28*INDEX(Reference!$E$2:$E$39,MATCH($A28,Reference!$A$2:$A$39,0))</f>
        <v>0</v>
      </c>
      <c r="G28" s="12" t="n">
        <f aca="false">$B28*INDEX(Reference!$F$2:$F$39,MATCH($A28,Reference!$A$2:$A$39,0))</f>
        <v>44</v>
      </c>
      <c r="H28" s="12" t="n">
        <f aca="false">$B28*INDEX(Reference!$G$2:$G$39,MATCH($A28,Reference!$A$2:$A$39,0))</f>
        <v>6.6</v>
      </c>
    </row>
    <row r="29" customFormat="false" ht="27" hidden="false" customHeight="true" outlineLevel="0" collapsed="false">
      <c r="A29" s="15" t="s">
        <v>22</v>
      </c>
      <c r="B29" s="11" t="n">
        <v>1</v>
      </c>
      <c r="C29" s="4" t="str">
        <f aca="false">INDEX(Reference!$B$2:$B$39,MATCH($A29,Reference!$A$2:$A$39,0))</f>
        <v>serving</v>
      </c>
      <c r="D29" s="12" t="n">
        <f aca="false">$B29*INDEX(Reference!$C$2:$C$39,MATCH($A29,Reference!$A$2:$A$39,0))</f>
        <v>40</v>
      </c>
      <c r="E29" s="12" t="n">
        <f aca="false">$B29*INDEX(Reference!$D$2:$D$39,MATCH($A29,Reference!$A$2:$A$39,0))</f>
        <v>2</v>
      </c>
      <c r="F29" s="12" t="n">
        <f aca="false">$B29*INDEX(Reference!$E$2:$E$39,MATCH($A29,Reference!$A$2:$A$39,0))</f>
        <v>0.5</v>
      </c>
      <c r="G29" s="12" t="n">
        <f aca="false">$B29*INDEX(Reference!$F$2:$F$39,MATCH($A29,Reference!$A$2:$A$39,0))</f>
        <v>9</v>
      </c>
      <c r="H29" s="12" t="n">
        <f aca="false">$B29*INDEX(Reference!$G$2:$G$39,MATCH($A29,Reference!$A$2:$A$39,0))</f>
        <v>2</v>
      </c>
    </row>
    <row r="30" customFormat="false" ht="14.25" hidden="false" customHeight="false" outlineLevel="0" collapsed="false">
      <c r="A30" s="10" t="s">
        <v>24</v>
      </c>
      <c r="B30" s="11" t="n">
        <v>40</v>
      </c>
      <c r="C30" s="4" t="str">
        <f aca="false">INDEX(Reference!$B$2:$B$39,MATCH($A30,Reference!$A$2:$A$39,0))</f>
        <v>gram</v>
      </c>
      <c r="D30" s="12" t="n">
        <f aca="false">$B30*INDEX(Reference!$C$2:$C$39,MATCH($A30,Reference!$A$2:$A$39,0))</f>
        <v>64</v>
      </c>
      <c r="E30" s="12" t="n">
        <f aca="false">$B30*INDEX(Reference!$D$2:$D$39,MATCH($A30,Reference!$A$2:$A$39,0))</f>
        <v>0.8</v>
      </c>
      <c r="F30" s="12" t="n">
        <f aca="false">$B30*INDEX(Reference!$E$2:$E$39,MATCH($A30,Reference!$A$2:$A$39,0))</f>
        <v>6</v>
      </c>
      <c r="G30" s="12" t="n">
        <f aca="false">$B30*INDEX(Reference!$F$2:$F$39,MATCH($A30,Reference!$A$2:$A$39,0))</f>
        <v>3.6</v>
      </c>
      <c r="H30" s="12" t="n">
        <f aca="false">$B30*INDEX(Reference!$G$2:$G$39,MATCH($A30,Reference!$A$2:$A$39,0))</f>
        <v>2.8</v>
      </c>
    </row>
    <row r="31" customFormat="false" ht="14.25" hidden="false" customHeight="false" outlineLevel="0" collapsed="false">
      <c r="A31" s="10" t="s">
        <v>30</v>
      </c>
      <c r="B31" s="11" t="n">
        <v>8</v>
      </c>
      <c r="C31" s="4" t="str">
        <f aca="false">INDEX(Reference!$B$2:$B$39,MATCH($A31,Reference!$A$2:$A$39,0))</f>
        <v>gram</v>
      </c>
      <c r="D31" s="12" t="n">
        <f aca="false">$B31*INDEX(Reference!$C$2:$C$39,MATCH($A31,Reference!$A$2:$A$39,0))</f>
        <v>70.72</v>
      </c>
      <c r="E31" s="12" t="n">
        <f aca="false">$B31*INDEX(Reference!$D$2:$D$39,MATCH($A31,Reference!$A$2:$A$39,0))</f>
        <v>0</v>
      </c>
      <c r="F31" s="12" t="n">
        <f aca="false">$B31*INDEX(Reference!$E$2:$E$39,MATCH($A31,Reference!$A$2:$A$39,0))</f>
        <v>8</v>
      </c>
      <c r="G31" s="12" t="n">
        <f aca="false">$B31*INDEX(Reference!$F$2:$F$39,MATCH($A31,Reference!$A$2:$A$39,0))</f>
        <v>0</v>
      </c>
      <c r="H31" s="12" t="n">
        <f aca="false">$B31*INDEX(Reference!$G$2:$G$39,MATCH($A31,Reference!$A$2:$A$39,0))</f>
        <v>0</v>
      </c>
    </row>
    <row r="32" customFormat="false" ht="14.25" hidden="false" customHeight="false" outlineLevel="0" collapsed="false">
      <c r="A32" s="13" t="s">
        <v>65</v>
      </c>
      <c r="D32" s="14" t="n">
        <f aca="false">SUM(D27:D31)</f>
        <v>675.92</v>
      </c>
      <c r="E32" s="14" t="n">
        <f aca="false">SUM(E27:E31)</f>
        <v>67</v>
      </c>
      <c r="F32" s="14" t="n">
        <f aca="false">SUM(F27:F31)</f>
        <v>22.3</v>
      </c>
      <c r="G32" s="14" t="n">
        <f aca="false">SUM(G27:G31)</f>
        <v>56.6</v>
      </c>
      <c r="H32" s="14" t="n">
        <f aca="false">SUM(H27:H31)</f>
        <v>11.4</v>
      </c>
    </row>
    <row r="33" customFormat="false" ht="14.25" hidden="false" customHeight="false" outlineLevel="0" collapsed="false">
      <c r="A33" s="9" t="s">
        <v>60</v>
      </c>
      <c r="B33" s="9"/>
      <c r="C33" s="9"/>
      <c r="D33" s="9"/>
      <c r="E33" s="9"/>
      <c r="F33" s="9"/>
      <c r="G33" s="9"/>
      <c r="H33" s="9"/>
    </row>
    <row r="34" customFormat="false" ht="14.25" hidden="false" customHeight="false" outlineLevel="0" collapsed="false">
      <c r="A34" s="10" t="s">
        <v>38</v>
      </c>
      <c r="B34" s="11" t="n">
        <v>320</v>
      </c>
      <c r="C34" s="4" t="str">
        <f aca="false">INDEX(Reference!$B$2:$B$39,MATCH($A34,Reference!$A$2:$A$39,0))</f>
        <v>gram</v>
      </c>
      <c r="D34" s="12" t="n">
        <f aca="false">$B34*INDEX(Reference!$C$2:$C$39,MATCH($A34,Reference!$A$2:$A$39,0))</f>
        <v>316.8</v>
      </c>
      <c r="E34" s="12" t="n">
        <f aca="false">$B34*INDEX(Reference!$D$2:$D$39,MATCH($A34,Reference!$A$2:$A$39,0))</f>
        <v>76.8</v>
      </c>
      <c r="F34" s="12" t="n">
        <f aca="false">$B34*INDEX(Reference!$E$2:$E$39,MATCH($A34,Reference!$A$2:$A$39,0))</f>
        <v>0.96</v>
      </c>
      <c r="G34" s="12" t="n">
        <f aca="false">$B34*INDEX(Reference!$F$2:$F$39,MATCH($A34,Reference!$A$2:$A$39,0))</f>
        <v>0</v>
      </c>
      <c r="H34" s="12" t="n">
        <f aca="false">$B34*INDEX(Reference!$G$2:$G$39,MATCH($A34,Reference!$A$2:$A$39,0))</f>
        <v>0</v>
      </c>
    </row>
    <row r="35" customFormat="false" ht="14.25" hidden="false" customHeight="false" outlineLevel="0" collapsed="false">
      <c r="A35" s="10" t="s">
        <v>15</v>
      </c>
      <c r="B35" s="11" t="n">
        <v>70</v>
      </c>
      <c r="C35" s="4" t="str">
        <f aca="false">INDEX(Reference!$B$2:$B$39,MATCH($A35,Reference!$A$2:$A$39,0))</f>
        <v>gram</v>
      </c>
      <c r="D35" s="12" t="n">
        <f aca="false">$B35*INDEX(Reference!$C$2:$C$39,MATCH($A35,Reference!$A$2:$A$39,0))</f>
        <v>252</v>
      </c>
      <c r="E35" s="12" t="n">
        <f aca="false">$B35*INDEX(Reference!$D$2:$D$39,MATCH($A35,Reference!$A$2:$A$39,0))</f>
        <v>5.6</v>
      </c>
      <c r="F35" s="12" t="n">
        <f aca="false">$B35*INDEX(Reference!$E$2:$E$39,MATCH($A35,Reference!$A$2:$A$39,0))</f>
        <v>0.7</v>
      </c>
      <c r="G35" s="12" t="n">
        <f aca="false">$B35*INDEX(Reference!$F$2:$F$39,MATCH($A35,Reference!$A$2:$A$39,0))</f>
        <v>56</v>
      </c>
      <c r="H35" s="12" t="n">
        <f aca="false">$B35*INDEX(Reference!$G$2:$G$39,MATCH($A35,Reference!$A$2:$A$39,0))</f>
        <v>0.7</v>
      </c>
    </row>
    <row r="36" customFormat="false" ht="27" hidden="false" customHeight="false" outlineLevel="0" collapsed="false">
      <c r="A36" s="15" t="s">
        <v>22</v>
      </c>
      <c r="B36" s="11" t="n">
        <v>1</v>
      </c>
      <c r="C36" s="4" t="str">
        <f aca="false">INDEX(Reference!$B$2:$B$39,MATCH($A36,Reference!$A$2:$A$39,0))</f>
        <v>serving</v>
      </c>
      <c r="D36" s="12" t="n">
        <f aca="false">$B36*INDEX(Reference!$C$2:$C$39,MATCH($A36,Reference!$A$2:$A$39,0))</f>
        <v>40</v>
      </c>
      <c r="E36" s="12" t="n">
        <f aca="false">$B36*INDEX(Reference!$D$2:$D$39,MATCH($A36,Reference!$A$2:$A$39,0))</f>
        <v>2</v>
      </c>
      <c r="F36" s="12" t="n">
        <f aca="false">$B36*INDEX(Reference!$E$2:$E$39,MATCH($A36,Reference!$A$2:$A$39,0))</f>
        <v>0.5</v>
      </c>
      <c r="G36" s="12" t="n">
        <f aca="false">$B36*INDEX(Reference!$F$2:$F$39,MATCH($A36,Reference!$A$2:$A$39,0))</f>
        <v>9</v>
      </c>
      <c r="H36" s="12" t="n">
        <f aca="false">$B36*INDEX(Reference!$G$2:$G$39,MATCH($A36,Reference!$A$2:$A$39,0))</f>
        <v>2</v>
      </c>
    </row>
    <row r="37" customFormat="false" ht="14.25" hidden="false" customHeight="false" outlineLevel="0" collapsed="false">
      <c r="A37" s="10" t="s">
        <v>24</v>
      </c>
      <c r="B37" s="11" t="n">
        <v>35</v>
      </c>
      <c r="C37" s="4" t="str">
        <f aca="false">INDEX(Reference!$B$2:$B$39,MATCH($A37,Reference!$A$2:$A$39,0))</f>
        <v>gram</v>
      </c>
      <c r="D37" s="12" t="n">
        <f aca="false">$B37*INDEX(Reference!$C$2:$C$39,MATCH($A37,Reference!$A$2:$A$39,0))</f>
        <v>56</v>
      </c>
      <c r="E37" s="12" t="n">
        <f aca="false">$B37*INDEX(Reference!$D$2:$D$39,MATCH($A37,Reference!$A$2:$A$39,0))</f>
        <v>0.7</v>
      </c>
      <c r="F37" s="12" t="n">
        <f aca="false">$B37*INDEX(Reference!$E$2:$E$39,MATCH($A37,Reference!$A$2:$A$39,0))</f>
        <v>5.25</v>
      </c>
      <c r="G37" s="12" t="n">
        <f aca="false">$B37*INDEX(Reference!$F$2:$F$39,MATCH($A37,Reference!$A$2:$A$39,0))</f>
        <v>3.15</v>
      </c>
      <c r="H37" s="12" t="n">
        <f aca="false">$B37*INDEX(Reference!$G$2:$G$39,MATCH($A37,Reference!$A$2:$A$39,0))</f>
        <v>2.45</v>
      </c>
    </row>
    <row r="38" customFormat="false" ht="14.25" hidden="false" customHeight="false" outlineLevel="0" collapsed="false">
      <c r="A38" s="10" t="s">
        <v>17</v>
      </c>
      <c r="B38" s="11" t="n">
        <v>35</v>
      </c>
      <c r="C38" s="4" t="str">
        <f aca="false">INDEX(Reference!$B$2:$B$39,MATCH($A38,Reference!$A$2:$A$39,0))</f>
        <v>gram</v>
      </c>
      <c r="D38" s="12" t="n">
        <f aca="false">$B38*INDEX(Reference!$C$2:$C$39,MATCH($A38,Reference!$A$2:$A$39,0))</f>
        <v>20.65</v>
      </c>
      <c r="E38" s="12" t="n">
        <f aca="false">$B38*INDEX(Reference!$D$2:$D$39,MATCH($A38,Reference!$A$2:$A$39,0))</f>
        <v>3.5</v>
      </c>
      <c r="F38" s="12" t="n">
        <f aca="false">$B38*INDEX(Reference!$E$2:$E$39,MATCH($A38,Reference!$A$2:$A$39,0))</f>
        <v>0</v>
      </c>
      <c r="G38" s="12" t="n">
        <f aca="false">$B38*INDEX(Reference!$F$2:$F$39,MATCH($A38,Reference!$A$2:$A$39,0))</f>
        <v>1.4</v>
      </c>
      <c r="H38" s="12" t="n">
        <f aca="false">$B38*INDEX(Reference!$G$2:$G$39,MATCH($A38,Reference!$A$2:$A$39,0))</f>
        <v>0</v>
      </c>
    </row>
    <row r="39" customFormat="false" ht="14.25" hidden="false" customHeight="false" outlineLevel="0" collapsed="false">
      <c r="A39" s="13" t="s">
        <v>66</v>
      </c>
      <c r="D39" s="14" t="n">
        <f aca="false">SUM(D34:D38)</f>
        <v>685.45</v>
      </c>
      <c r="E39" s="14" t="n">
        <f aca="false">SUM(E34:E38)</f>
        <v>88.6</v>
      </c>
      <c r="F39" s="14" t="n">
        <f aca="false">SUM(F34:F38)</f>
        <v>7.41</v>
      </c>
      <c r="G39" s="14" t="n">
        <f aca="false">SUM(G34:G38)</f>
        <v>69.55</v>
      </c>
      <c r="H39" s="14" t="n">
        <f aca="false">SUM(H34:H38)</f>
        <v>5.15</v>
      </c>
    </row>
    <row r="40" customFormat="false" ht="14.25" hidden="false" customHeight="false" outlineLevel="0" collapsed="false">
      <c r="A40" s="9" t="s">
        <v>62</v>
      </c>
      <c r="B40" s="9"/>
      <c r="C40" s="9"/>
      <c r="D40" s="9"/>
      <c r="E40" s="9"/>
      <c r="F40" s="9"/>
      <c r="G40" s="9"/>
      <c r="H40" s="9"/>
    </row>
    <row r="41" customFormat="false" ht="14.25" hidden="false" customHeight="false" outlineLevel="0" collapsed="false">
      <c r="A41" s="10" t="s">
        <v>20</v>
      </c>
      <c r="B41" s="11" t="n">
        <v>240</v>
      </c>
      <c r="C41" s="4" t="str">
        <f aca="false">INDEX(Reference!$B$2:$B$39,MATCH($A41,Reference!$A$2:$A$39,0))</f>
        <v>gram</v>
      </c>
      <c r="D41" s="12" t="n">
        <f aca="false">$B41*INDEX(Reference!$C$2:$C$39,MATCH($A41,Reference!$A$2:$A$39,0))</f>
        <v>412.8</v>
      </c>
      <c r="E41" s="12" t="n">
        <f aca="false">$B41*INDEX(Reference!$D$2:$D$39,MATCH($A41,Reference!$A$2:$A$39,0))</f>
        <v>60</v>
      </c>
      <c r="F41" s="12" t="n">
        <f aca="false">$B41*INDEX(Reference!$E$2:$E$39,MATCH($A41,Reference!$A$2:$A$39,0))</f>
        <v>19.2</v>
      </c>
      <c r="G41" s="12" t="n">
        <f aca="false">$B41*INDEX(Reference!$F$2:$F$39,MATCH($A41,Reference!$A$2:$A$39,0))</f>
        <v>0</v>
      </c>
      <c r="H41" s="12" t="n">
        <f aca="false">$B41*INDEX(Reference!$G$2:$G$39,MATCH($A41,Reference!$A$2:$A$39,0))</f>
        <v>0</v>
      </c>
    </row>
    <row r="42" customFormat="false" ht="14.25" hidden="false" customHeight="false" outlineLevel="0" collapsed="false">
      <c r="A42" s="10" t="s">
        <v>21</v>
      </c>
      <c r="B42" s="11" t="n">
        <v>200</v>
      </c>
      <c r="C42" s="4" t="str">
        <f aca="false">INDEX(Reference!$B$2:$B$39,MATCH($A42,Reference!$A$2:$A$39,0))</f>
        <v>gram</v>
      </c>
      <c r="D42" s="12" t="n">
        <f aca="false">$B42*INDEX(Reference!$C$2:$C$39,MATCH($A42,Reference!$A$2:$A$39,0))</f>
        <v>172</v>
      </c>
      <c r="E42" s="12" t="n">
        <f aca="false">$B42*INDEX(Reference!$D$2:$D$39,MATCH($A42,Reference!$A$2:$A$39,0))</f>
        <v>4</v>
      </c>
      <c r="F42" s="12" t="n">
        <f aca="false">$B42*INDEX(Reference!$E$2:$E$39,MATCH($A42,Reference!$A$2:$A$39,0))</f>
        <v>0</v>
      </c>
      <c r="G42" s="12" t="n">
        <f aca="false">$B42*INDEX(Reference!$F$2:$F$39,MATCH($A42,Reference!$A$2:$A$39,0))</f>
        <v>40</v>
      </c>
      <c r="H42" s="12" t="n">
        <f aca="false">$B42*INDEX(Reference!$G$2:$G$39,MATCH($A42,Reference!$A$2:$A$39,0))</f>
        <v>6</v>
      </c>
    </row>
    <row r="43" customFormat="false" ht="24.75" hidden="false" customHeight="true" outlineLevel="0" collapsed="false">
      <c r="A43" s="15" t="s">
        <v>22</v>
      </c>
      <c r="B43" s="11" t="n">
        <v>1</v>
      </c>
      <c r="C43" s="4" t="str">
        <f aca="false">INDEX(Reference!$B$2:$B$39,MATCH($A43,Reference!$A$2:$A$39,0))</f>
        <v>serving</v>
      </c>
      <c r="D43" s="12" t="n">
        <f aca="false">$B43*INDEX(Reference!$C$2:$C$39,MATCH($A43,Reference!$A$2:$A$39,0))</f>
        <v>40</v>
      </c>
      <c r="E43" s="12" t="n">
        <f aca="false">$B43*INDEX(Reference!$D$2:$D$39,MATCH($A43,Reference!$A$2:$A$39,0))</f>
        <v>2</v>
      </c>
      <c r="F43" s="12" t="n">
        <f aca="false">$B43*INDEX(Reference!$E$2:$E$39,MATCH($A43,Reference!$A$2:$A$39,0))</f>
        <v>0.5</v>
      </c>
      <c r="G43" s="12" t="n">
        <f aca="false">$B43*INDEX(Reference!$F$2:$F$39,MATCH($A43,Reference!$A$2:$A$39,0))</f>
        <v>9</v>
      </c>
      <c r="H43" s="12" t="n">
        <f aca="false">$B43*INDEX(Reference!$G$2:$G$39,MATCH($A43,Reference!$A$2:$A$39,0))</f>
        <v>2</v>
      </c>
    </row>
    <row r="44" customFormat="false" ht="14.25" hidden="false" customHeight="false" outlineLevel="0" collapsed="false">
      <c r="A44" s="10" t="s">
        <v>17</v>
      </c>
      <c r="B44" s="11" t="n">
        <v>35</v>
      </c>
      <c r="C44" s="4" t="str">
        <f aca="false">INDEX(Reference!$B$2:$B$39,MATCH($A44,Reference!$A$2:$A$39,0))</f>
        <v>gram</v>
      </c>
      <c r="D44" s="12" t="n">
        <f aca="false">$B44*INDEX(Reference!$C$2:$C$39,MATCH($A44,Reference!$A$2:$A$39,0))</f>
        <v>20.65</v>
      </c>
      <c r="E44" s="12" t="n">
        <f aca="false">$B44*INDEX(Reference!$D$2:$D$39,MATCH($A44,Reference!$A$2:$A$39,0))</f>
        <v>3.5</v>
      </c>
      <c r="F44" s="12" t="n">
        <f aca="false">$B44*INDEX(Reference!$E$2:$E$39,MATCH($A44,Reference!$A$2:$A$39,0))</f>
        <v>0</v>
      </c>
      <c r="G44" s="12" t="n">
        <f aca="false">$B44*INDEX(Reference!$F$2:$F$39,MATCH($A44,Reference!$A$2:$A$39,0))</f>
        <v>1.4</v>
      </c>
      <c r="H44" s="12" t="n">
        <f aca="false">$B44*INDEX(Reference!$G$2:$G$39,MATCH($A44,Reference!$A$2:$A$39,0))</f>
        <v>0</v>
      </c>
    </row>
    <row r="45" customFormat="false" ht="14.25" hidden="false" customHeight="false" outlineLevel="0" collapsed="false">
      <c r="A45" s="10" t="s">
        <v>24</v>
      </c>
      <c r="B45" s="11" t="n">
        <v>35</v>
      </c>
      <c r="C45" s="4" t="str">
        <f aca="false">INDEX(Reference!$B$2:$B$39,MATCH($A45,Reference!$A$2:$A$39,0))</f>
        <v>gram</v>
      </c>
      <c r="D45" s="12" t="n">
        <f aca="false">$B45*INDEX(Reference!$C$2:$C$39,MATCH($A45,Reference!$A$2:$A$39,0))</f>
        <v>56</v>
      </c>
      <c r="E45" s="12" t="n">
        <f aca="false">$B45*INDEX(Reference!$D$2:$D$39,MATCH($A45,Reference!$A$2:$A$39,0))</f>
        <v>0.7</v>
      </c>
      <c r="F45" s="12" t="n">
        <f aca="false">$B45*INDEX(Reference!$E$2:$E$39,MATCH($A45,Reference!$A$2:$A$39,0))</f>
        <v>5.25</v>
      </c>
      <c r="G45" s="12" t="n">
        <f aca="false">$B45*INDEX(Reference!$F$2:$F$39,MATCH($A45,Reference!$A$2:$A$39,0))</f>
        <v>3.15</v>
      </c>
      <c r="H45" s="12" t="n">
        <f aca="false">$B45*INDEX(Reference!$G$2:$G$39,MATCH($A45,Reference!$A$2:$A$39,0))</f>
        <v>2.45</v>
      </c>
    </row>
    <row r="46" customFormat="false" ht="14.25" hidden="false" customHeight="false" outlineLevel="0" collapsed="false">
      <c r="A46" s="13" t="s">
        <v>67</v>
      </c>
      <c r="D46" s="14" t="n">
        <f aca="false">SUM(D41:D45)</f>
        <v>701.45</v>
      </c>
      <c r="E46" s="14" t="n">
        <f aca="false">SUM(E41:E45)</f>
        <v>70.2</v>
      </c>
      <c r="F46" s="14" t="n">
        <f aca="false">SUM(F41:F45)</f>
        <v>24.95</v>
      </c>
      <c r="G46" s="14" t="n">
        <f aca="false">SUM(G41:G45)</f>
        <v>53.55</v>
      </c>
      <c r="H46" s="14" t="n">
        <f aca="false">SUM(H41:H45)</f>
        <v>10.45</v>
      </c>
    </row>
    <row r="47" customFormat="false" ht="14.25" hidden="false" customHeight="false" outlineLevel="0" collapsed="false">
      <c r="A47" s="3"/>
      <c r="B47" s="11"/>
      <c r="C47" s="4"/>
      <c r="D47" s="12"/>
      <c r="E47" s="12"/>
      <c r="F47" s="12"/>
      <c r="G47" s="12"/>
      <c r="H47" s="12"/>
    </row>
    <row r="48" customFormat="false" ht="14.25" hidden="false" customHeight="false" outlineLevel="0" collapsed="false">
      <c r="A48" s="9" t="s">
        <v>68</v>
      </c>
      <c r="B48" s="9"/>
      <c r="C48" s="9"/>
      <c r="D48" s="9"/>
      <c r="E48" s="9"/>
      <c r="F48" s="9"/>
      <c r="G48" s="9"/>
      <c r="H48" s="9"/>
    </row>
    <row r="49" customFormat="false" ht="14.25" hidden="false" customHeight="false" outlineLevel="0" collapsed="false">
      <c r="A49" s="9" t="s">
        <v>58</v>
      </c>
      <c r="B49" s="9"/>
      <c r="C49" s="9"/>
      <c r="D49" s="9"/>
      <c r="E49" s="9"/>
      <c r="F49" s="9"/>
      <c r="G49" s="9"/>
      <c r="H49" s="9"/>
    </row>
    <row r="50" customFormat="false" ht="14.25" hidden="false" customHeight="false" outlineLevel="0" collapsed="false">
      <c r="A50" s="10" t="s">
        <v>17</v>
      </c>
      <c r="B50" s="11" t="n">
        <v>350</v>
      </c>
      <c r="C50" s="4" t="str">
        <f aca="false">INDEX(Reference!$B$2:$B$39,MATCH($A50,Reference!$A$2:$A$39,0))</f>
        <v>gram</v>
      </c>
      <c r="D50" s="12" t="n">
        <f aca="false">$B50*INDEX(Reference!$C$2:$C$39,MATCH($A50,Reference!$A$2:$A$39,0))</f>
        <v>206.5</v>
      </c>
      <c r="E50" s="12" t="n">
        <f aca="false">$B50*INDEX(Reference!$D$2:$D$39,MATCH($A50,Reference!$A$2:$A$39,0))</f>
        <v>35</v>
      </c>
      <c r="F50" s="12" t="n">
        <f aca="false">$B50*INDEX(Reference!$E$2:$E$39,MATCH($A50,Reference!$A$2:$A$39,0))</f>
        <v>0</v>
      </c>
      <c r="G50" s="12" t="n">
        <f aca="false">$B50*INDEX(Reference!$F$2:$F$39,MATCH($A50,Reference!$A$2:$A$39,0))</f>
        <v>14</v>
      </c>
      <c r="H50" s="12" t="n">
        <f aca="false">$B50*INDEX(Reference!$G$2:$G$39,MATCH($A50,Reference!$A$2:$A$39,0))</f>
        <v>0</v>
      </c>
    </row>
    <row r="51" customFormat="false" ht="14.25" hidden="false" customHeight="false" outlineLevel="0" collapsed="false">
      <c r="A51" s="10" t="s">
        <v>37</v>
      </c>
      <c r="B51" s="11" t="n">
        <v>100</v>
      </c>
      <c r="C51" s="4" t="str">
        <f aca="false">INDEX(Reference!$B$2:$B$39,MATCH($A51,Reference!$A$2:$A$39,0))</f>
        <v>gram</v>
      </c>
      <c r="D51" s="12" t="n">
        <f aca="false">$B51*INDEX(Reference!$C$2:$C$39,MATCH($A51,Reference!$A$2:$A$39,0))</f>
        <v>89</v>
      </c>
      <c r="E51" s="12" t="n">
        <f aca="false">$B51*INDEX(Reference!$D$2:$D$39,MATCH($A51,Reference!$A$2:$A$39,0))</f>
        <v>1</v>
      </c>
      <c r="F51" s="12" t="n">
        <f aca="false">$B51*INDEX(Reference!$E$2:$E$39,MATCH($A51,Reference!$A$2:$A$39,0))</f>
        <v>0</v>
      </c>
      <c r="G51" s="12" t="n">
        <f aca="false">$B51*INDEX(Reference!$F$2:$F$39,MATCH($A51,Reference!$A$2:$A$39,0))</f>
        <v>23</v>
      </c>
      <c r="H51" s="12" t="n">
        <f aca="false">$B51*INDEX(Reference!$G$2:$G$39,MATCH($A51,Reference!$A$2:$A$39,0))</f>
        <v>3</v>
      </c>
    </row>
    <row r="52" customFormat="false" ht="27" hidden="false" customHeight="true" outlineLevel="0" collapsed="false">
      <c r="A52" s="10" t="s">
        <v>27</v>
      </c>
      <c r="B52" s="11" t="n">
        <v>18</v>
      </c>
      <c r="C52" s="4" t="str">
        <f aca="false">INDEX(Reference!$B$2:$B$39,MATCH($A52,Reference!$A$2:$A$39,0))</f>
        <v>gram</v>
      </c>
      <c r="D52" s="12" t="n">
        <f aca="false">$B52*INDEX(Reference!$C$2:$C$39,MATCH($A52,Reference!$A$2:$A$39,0))</f>
        <v>105.84</v>
      </c>
      <c r="E52" s="12" t="n">
        <f aca="false">$B52*INDEX(Reference!$D$2:$D$39,MATCH($A52,Reference!$A$2:$A$39,0))</f>
        <v>4.5</v>
      </c>
      <c r="F52" s="12" t="n">
        <f aca="false">$B52*INDEX(Reference!$E$2:$E$39,MATCH($A52,Reference!$A$2:$A$39,0))</f>
        <v>9</v>
      </c>
      <c r="G52" s="12" t="n">
        <f aca="false">$B52*INDEX(Reference!$F$2:$F$39,MATCH($A52,Reference!$A$2:$A$39,0))</f>
        <v>3.6</v>
      </c>
      <c r="H52" s="12" t="n">
        <f aca="false">$B52*INDEX(Reference!$G$2:$G$39,MATCH($A52,Reference!$A$2:$A$39,0))</f>
        <v>1.08</v>
      </c>
    </row>
    <row r="53" customFormat="false" ht="14.25" hidden="false" customHeight="false" outlineLevel="0" collapsed="false">
      <c r="A53" s="10" t="s">
        <v>19</v>
      </c>
      <c r="B53" s="11" t="n">
        <v>12</v>
      </c>
      <c r="C53" s="4" t="str">
        <f aca="false">INDEX(Reference!$B$2:$B$39,MATCH($A53,Reference!$A$2:$A$39,0))</f>
        <v>gram</v>
      </c>
      <c r="D53" s="12" t="n">
        <f aca="false">$B53*INDEX(Reference!$C$2:$C$39,MATCH($A53,Reference!$A$2:$A$39,0))</f>
        <v>69.6</v>
      </c>
      <c r="E53" s="12" t="n">
        <f aca="false">$B53*INDEX(Reference!$D$2:$D$39,MATCH($A53,Reference!$A$2:$A$39,0))</f>
        <v>2.52</v>
      </c>
      <c r="F53" s="12" t="n">
        <f aca="false">$B53*INDEX(Reference!$E$2:$E$39,MATCH($A53,Reference!$A$2:$A$39,0))</f>
        <v>6</v>
      </c>
      <c r="G53" s="12" t="n">
        <f aca="false">$B53*INDEX(Reference!$F$2:$F$39,MATCH($A53,Reference!$A$2:$A$39,0))</f>
        <v>2.64</v>
      </c>
      <c r="H53" s="12" t="n">
        <f aca="false">$B53*INDEX(Reference!$G$2:$G$39,MATCH($A53,Reference!$A$2:$A$39,0))</f>
        <v>1.56</v>
      </c>
    </row>
    <row r="54" customFormat="false" ht="14.25" hidden="false" customHeight="false" outlineLevel="0" collapsed="false">
      <c r="A54" s="10" t="s">
        <v>18</v>
      </c>
      <c r="B54" s="11" t="n">
        <v>25</v>
      </c>
      <c r="C54" s="4" t="str">
        <f aca="false">INDEX(Reference!$B$2:$B$39,MATCH($A54,Reference!$A$2:$A$39,0))</f>
        <v>gram</v>
      </c>
      <c r="D54" s="12" t="n">
        <f aca="false">$B54*INDEX(Reference!$C$2:$C$39,MATCH($A54,Reference!$A$2:$A$39,0))</f>
        <v>14.25</v>
      </c>
      <c r="E54" s="12" t="n">
        <f aca="false">$B54*INDEX(Reference!$D$2:$D$39,MATCH($A54,Reference!$A$2:$A$39,0))</f>
        <v>0.25</v>
      </c>
      <c r="F54" s="12" t="n">
        <f aca="false">$B54*INDEX(Reference!$E$2:$E$39,MATCH($A54,Reference!$A$2:$A$39,0))</f>
        <v>0</v>
      </c>
      <c r="G54" s="12" t="n">
        <f aca="false">$B54*INDEX(Reference!$F$2:$F$39,MATCH($A54,Reference!$A$2:$A$39,0))</f>
        <v>3.75</v>
      </c>
      <c r="H54" s="12" t="n">
        <f aca="false">$B54*INDEX(Reference!$G$2:$G$39,MATCH($A54,Reference!$A$2:$A$39,0))</f>
        <v>0.5</v>
      </c>
    </row>
    <row r="55" customFormat="false" ht="14.25" hidden="false" customHeight="false" outlineLevel="0" collapsed="false">
      <c r="A55" s="13" t="s">
        <v>65</v>
      </c>
      <c r="D55" s="14" t="n">
        <f aca="false">SUM(D50:D54)</f>
        <v>485.19</v>
      </c>
      <c r="E55" s="14" t="n">
        <f aca="false">SUM(E50:E54)</f>
        <v>43.27</v>
      </c>
      <c r="F55" s="14" t="n">
        <f aca="false">SUM(F50:F54)</f>
        <v>15</v>
      </c>
      <c r="G55" s="14" t="n">
        <f aca="false">SUM(G50:G54)</f>
        <v>46.99</v>
      </c>
      <c r="H55" s="14" t="n">
        <f aca="false">SUM(H50:H54)</f>
        <v>6.14</v>
      </c>
    </row>
    <row r="56" customFormat="false" ht="14.25" hidden="false" customHeight="false" outlineLevel="0" collapsed="false">
      <c r="A56" s="9" t="s">
        <v>60</v>
      </c>
      <c r="B56" s="9"/>
      <c r="C56" s="9"/>
      <c r="D56" s="9"/>
      <c r="E56" s="9"/>
      <c r="F56" s="9"/>
      <c r="G56" s="9"/>
      <c r="H56" s="9"/>
    </row>
    <row r="57" customFormat="false" ht="14.25" hidden="false" customHeight="false" outlineLevel="0" collapsed="false">
      <c r="A57" s="10" t="s">
        <v>28</v>
      </c>
      <c r="B57" s="11" t="n">
        <v>80</v>
      </c>
      <c r="C57" s="4" t="str">
        <f aca="false">INDEX(Reference!$B$2:$B$39,MATCH($A57,Reference!$A$2:$A$39,0))</f>
        <v>gram</v>
      </c>
      <c r="D57" s="12" t="n">
        <f aca="false">$B57*INDEX(Reference!$C$2:$C$39,MATCH($A57,Reference!$A$2:$A$39,0))</f>
        <v>200</v>
      </c>
      <c r="E57" s="12" t="n">
        <f aca="false">$B57*INDEX(Reference!$D$2:$D$39,MATCH($A57,Reference!$A$2:$A$39,0))</f>
        <v>10.4</v>
      </c>
      <c r="F57" s="12" t="n">
        <f aca="false">$B57*INDEX(Reference!$E$2:$E$39,MATCH($A57,Reference!$A$2:$A$39,0))</f>
        <v>3.2</v>
      </c>
      <c r="G57" s="12" t="n">
        <f aca="false">$B57*INDEX(Reference!$F$2:$F$39,MATCH($A57,Reference!$A$2:$A$39,0))</f>
        <v>32.8</v>
      </c>
      <c r="H57" s="12" t="n">
        <f aca="false">$B57*INDEX(Reference!$G$2:$G$39,MATCH($A57,Reference!$A$2:$A$39,0))</f>
        <v>5.6</v>
      </c>
    </row>
    <row r="58" customFormat="false" ht="14.25" hidden="false" customHeight="false" outlineLevel="0" collapsed="false">
      <c r="A58" s="10" t="s">
        <v>27</v>
      </c>
      <c r="B58" s="11" t="n">
        <v>28</v>
      </c>
      <c r="C58" s="4" t="str">
        <f aca="false">INDEX(Reference!$B$2:$B$39,MATCH($A58,Reference!$A$2:$A$39,0))</f>
        <v>gram</v>
      </c>
      <c r="D58" s="12" t="n">
        <f aca="false">$B58*INDEX(Reference!$C$2:$C$39,MATCH($A58,Reference!$A$2:$A$39,0))</f>
        <v>164.64</v>
      </c>
      <c r="E58" s="12" t="n">
        <f aca="false">$B58*INDEX(Reference!$D$2:$D$39,MATCH($A58,Reference!$A$2:$A$39,0))</f>
        <v>7</v>
      </c>
      <c r="F58" s="12" t="n">
        <f aca="false">$B58*INDEX(Reference!$E$2:$E$39,MATCH($A58,Reference!$A$2:$A$39,0))</f>
        <v>14</v>
      </c>
      <c r="G58" s="12" t="n">
        <f aca="false">$B58*INDEX(Reference!$F$2:$F$39,MATCH($A58,Reference!$A$2:$A$39,0))</f>
        <v>5.6</v>
      </c>
      <c r="H58" s="12" t="n">
        <f aca="false">$B58*INDEX(Reference!$G$2:$G$39,MATCH($A58,Reference!$A$2:$A$39,0))</f>
        <v>1.68</v>
      </c>
    </row>
    <row r="59" customFormat="false" ht="14.25" hidden="false" customHeight="false" outlineLevel="0" collapsed="false">
      <c r="A59" s="10" t="s">
        <v>37</v>
      </c>
      <c r="B59" s="11" t="n">
        <v>100</v>
      </c>
      <c r="C59" s="4" t="str">
        <f aca="false">INDEX(Reference!$B$2:$B$39,MATCH($A59,Reference!$A$2:$A$39,0))</f>
        <v>gram</v>
      </c>
      <c r="D59" s="12" t="n">
        <f aca="false">$B59*INDEX(Reference!$C$2:$C$39,MATCH($A59,Reference!$A$2:$A$39,0))</f>
        <v>89</v>
      </c>
      <c r="E59" s="12" t="n">
        <f aca="false">$B59*INDEX(Reference!$D$2:$D$39,MATCH($A59,Reference!$A$2:$A$39,0))</f>
        <v>1</v>
      </c>
      <c r="F59" s="12" t="n">
        <f aca="false">$B59*INDEX(Reference!$E$2:$E$39,MATCH($A59,Reference!$A$2:$A$39,0))</f>
        <v>0</v>
      </c>
      <c r="G59" s="12" t="n">
        <f aca="false">$B59*INDEX(Reference!$F$2:$F$39,MATCH($A59,Reference!$A$2:$A$39,0))</f>
        <v>23</v>
      </c>
      <c r="H59" s="12" t="n">
        <f aca="false">$B59*INDEX(Reference!$G$2:$G$39,MATCH($A59,Reference!$A$2:$A$39,0))</f>
        <v>3</v>
      </c>
    </row>
    <row r="60" customFormat="false" ht="27" hidden="false" customHeight="true" outlineLevel="0" collapsed="false">
      <c r="A60" s="13" t="s">
        <v>66</v>
      </c>
      <c r="D60" s="14" t="n">
        <f aca="false">SUM(D57:D59)</f>
        <v>453.64</v>
      </c>
      <c r="E60" s="14" t="n">
        <f aca="false">SUM(E57:E59)</f>
        <v>18.4</v>
      </c>
      <c r="F60" s="14" t="n">
        <f aca="false">SUM(F57:F59)</f>
        <v>17.2</v>
      </c>
      <c r="G60" s="14" t="n">
        <f aca="false">SUM(G57:G59)</f>
        <v>61.4</v>
      </c>
      <c r="H60" s="14" t="n">
        <f aca="false">SUM(H57:H59)</f>
        <v>10.28</v>
      </c>
    </row>
    <row r="61" customFormat="false" ht="14.25" hidden="false" customHeight="false" outlineLevel="0" collapsed="false">
      <c r="A61" s="3"/>
      <c r="B61" s="11"/>
      <c r="C61" s="4"/>
      <c r="D61" s="12"/>
      <c r="E61" s="12"/>
      <c r="F61" s="12"/>
      <c r="G61" s="12"/>
      <c r="H61" s="12"/>
    </row>
    <row r="62" customFormat="false" ht="14.25" hidden="false" customHeight="false" outlineLevel="0" collapsed="false">
      <c r="A62" s="9" t="s">
        <v>69</v>
      </c>
      <c r="B62" s="9"/>
      <c r="C62" s="9"/>
      <c r="D62" s="9"/>
      <c r="E62" s="9"/>
      <c r="F62" s="9"/>
      <c r="G62" s="9"/>
      <c r="H62" s="9"/>
    </row>
    <row r="63" customFormat="false" ht="14.25" hidden="false" customHeight="false" outlineLevel="0" collapsed="false">
      <c r="A63" s="9" t="s">
        <v>58</v>
      </c>
      <c r="B63" s="9"/>
      <c r="C63" s="9"/>
      <c r="D63" s="9"/>
      <c r="E63" s="9"/>
      <c r="F63" s="9"/>
      <c r="G63" s="9"/>
      <c r="H63" s="9"/>
    </row>
    <row r="64" customFormat="false" ht="14.25" hidden="false" customHeight="false" outlineLevel="0" collapsed="false">
      <c r="A64" s="10" t="s">
        <v>39</v>
      </c>
      <c r="B64" s="11" t="n">
        <v>350</v>
      </c>
      <c r="C64" s="4" t="str">
        <f aca="false">INDEX(Reference!$B$2:$B$39,MATCH($A64,Reference!$A$2:$A$39,0))</f>
        <v>gram</v>
      </c>
      <c r="D64" s="12" t="n">
        <f aca="false">$B64*INDEX(Reference!$C$2:$C$39,MATCH($A64,Reference!$A$2:$A$39,0))</f>
        <v>287</v>
      </c>
      <c r="E64" s="12" t="n">
        <f aca="false">$B64*INDEX(Reference!$D$2:$D$39,MATCH($A64,Reference!$A$2:$A$39,0))</f>
        <v>63</v>
      </c>
      <c r="F64" s="12" t="n">
        <f aca="false">$B64*INDEX(Reference!$E$2:$E$39,MATCH($A64,Reference!$A$2:$A$39,0))</f>
        <v>2.45</v>
      </c>
      <c r="G64" s="12" t="n">
        <f aca="false">$B64*INDEX(Reference!$F$2:$F$39,MATCH($A64,Reference!$A$2:$A$39,0))</f>
        <v>0</v>
      </c>
      <c r="H64" s="12" t="n">
        <f aca="false">$B64*INDEX(Reference!$G$2:$G$39,MATCH($A64,Reference!$A$2:$A$39,0))</f>
        <v>0</v>
      </c>
    </row>
    <row r="65" customFormat="false" ht="14.25" hidden="false" customHeight="false" outlineLevel="0" collapsed="false">
      <c r="A65" s="10" t="s">
        <v>15</v>
      </c>
      <c r="B65" s="11" t="n">
        <v>90</v>
      </c>
      <c r="C65" s="4" t="str">
        <f aca="false">INDEX(Reference!$B$2:$B$39,MATCH($A65,Reference!$A$2:$A$39,0))</f>
        <v>gram</v>
      </c>
      <c r="D65" s="12" t="n">
        <f aca="false">$B65*INDEX(Reference!$C$2:$C$39,MATCH($A65,Reference!$A$2:$A$39,0))</f>
        <v>324</v>
      </c>
      <c r="E65" s="12" t="n">
        <f aca="false">$B65*INDEX(Reference!$D$2:$D$39,MATCH($A65,Reference!$A$2:$A$39,0))</f>
        <v>7.2</v>
      </c>
      <c r="F65" s="12" t="n">
        <f aca="false">$B65*INDEX(Reference!$E$2:$E$39,MATCH($A65,Reference!$A$2:$A$39,0))</f>
        <v>0.9</v>
      </c>
      <c r="G65" s="12" t="n">
        <f aca="false">$B65*INDEX(Reference!$F$2:$F$39,MATCH($A65,Reference!$A$2:$A$39,0))</f>
        <v>72</v>
      </c>
      <c r="H65" s="12" t="n">
        <f aca="false">$B65*INDEX(Reference!$G$2:$G$39,MATCH($A65,Reference!$A$2:$A$39,0))</f>
        <v>0.9</v>
      </c>
    </row>
    <row r="66" customFormat="false" ht="27" hidden="false" customHeight="false" outlineLevel="0" collapsed="false">
      <c r="A66" s="15" t="s">
        <v>22</v>
      </c>
      <c r="B66" s="11" t="n">
        <v>1</v>
      </c>
      <c r="C66" s="4" t="str">
        <f aca="false">INDEX(Reference!$B$2:$B$39,MATCH($A66,Reference!$A$2:$A$39,0))</f>
        <v>serving</v>
      </c>
      <c r="D66" s="12" t="n">
        <f aca="false">$B66*INDEX(Reference!$C$2:$C$39,MATCH($A66,Reference!$A$2:$A$39,0))</f>
        <v>40</v>
      </c>
      <c r="E66" s="12" t="n">
        <f aca="false">$B66*INDEX(Reference!$D$2:$D$39,MATCH($A66,Reference!$A$2:$A$39,0))</f>
        <v>2</v>
      </c>
      <c r="F66" s="12" t="n">
        <f aca="false">$B66*INDEX(Reference!$E$2:$E$39,MATCH($A66,Reference!$A$2:$A$39,0))</f>
        <v>0.5</v>
      </c>
      <c r="G66" s="12" t="n">
        <f aca="false">$B66*INDEX(Reference!$F$2:$F$39,MATCH($A66,Reference!$A$2:$A$39,0))</f>
        <v>9</v>
      </c>
      <c r="H66" s="12" t="n">
        <f aca="false">$B66*INDEX(Reference!$G$2:$G$39,MATCH($A66,Reference!$A$2:$A$39,0))</f>
        <v>2</v>
      </c>
    </row>
    <row r="67" customFormat="false" ht="14.25" hidden="false" customHeight="false" outlineLevel="0" collapsed="false">
      <c r="A67" s="10" t="s">
        <v>17</v>
      </c>
      <c r="B67" s="11" t="n">
        <v>25</v>
      </c>
      <c r="C67" s="4" t="str">
        <f aca="false">INDEX(Reference!$B$2:$B$39,MATCH($A67,Reference!$A$2:$A$39,0))</f>
        <v>gram</v>
      </c>
      <c r="D67" s="12" t="n">
        <f aca="false">$B67*INDEX(Reference!$C$2:$C$39,MATCH($A67,Reference!$A$2:$A$39,0))</f>
        <v>14.75</v>
      </c>
      <c r="E67" s="12" t="n">
        <f aca="false">$B67*INDEX(Reference!$D$2:$D$39,MATCH($A67,Reference!$A$2:$A$39,0))</f>
        <v>2.5</v>
      </c>
      <c r="F67" s="12" t="n">
        <f aca="false">$B67*INDEX(Reference!$E$2:$E$39,MATCH($A67,Reference!$A$2:$A$39,0))</f>
        <v>0</v>
      </c>
      <c r="G67" s="12" t="n">
        <f aca="false">$B67*INDEX(Reference!$F$2:$F$39,MATCH($A67,Reference!$A$2:$A$39,0))</f>
        <v>1</v>
      </c>
      <c r="H67" s="12" t="n">
        <f aca="false">$B67*INDEX(Reference!$G$2:$G$39,MATCH($A67,Reference!$A$2:$A$39,0))</f>
        <v>0</v>
      </c>
    </row>
    <row r="68" customFormat="false" ht="14.25" hidden="false" customHeight="false" outlineLevel="0" collapsed="false">
      <c r="A68" s="10" t="s">
        <v>24</v>
      </c>
      <c r="B68" s="11" t="n">
        <v>45</v>
      </c>
      <c r="C68" s="4" t="str">
        <f aca="false">INDEX(Reference!$B$2:$B$39,MATCH($A68,Reference!$A$2:$A$39,0))</f>
        <v>gram</v>
      </c>
      <c r="D68" s="12" t="n">
        <f aca="false">$B68*INDEX(Reference!$C$2:$C$39,MATCH($A68,Reference!$A$2:$A$39,0))</f>
        <v>72</v>
      </c>
      <c r="E68" s="12" t="n">
        <f aca="false">$B68*INDEX(Reference!$D$2:$D$39,MATCH($A68,Reference!$A$2:$A$39,0))</f>
        <v>0.9</v>
      </c>
      <c r="F68" s="12" t="n">
        <f aca="false">$B68*INDEX(Reference!$E$2:$E$39,MATCH($A68,Reference!$A$2:$A$39,0))</f>
        <v>6.75</v>
      </c>
      <c r="G68" s="12" t="n">
        <f aca="false">$B68*INDEX(Reference!$F$2:$F$39,MATCH($A68,Reference!$A$2:$A$39,0))</f>
        <v>4.05</v>
      </c>
      <c r="H68" s="12" t="n">
        <f aca="false">$B68*INDEX(Reference!$G$2:$G$39,MATCH($A68,Reference!$A$2:$A$39,0))</f>
        <v>3.15</v>
      </c>
    </row>
    <row r="69" customFormat="false" ht="14.25" hidden="false" customHeight="false" outlineLevel="0" collapsed="false">
      <c r="A69" s="13" t="s">
        <v>65</v>
      </c>
      <c r="D69" s="14" t="n">
        <f aca="false">SUM(D64:D68)</f>
        <v>737.75</v>
      </c>
      <c r="E69" s="14" t="n">
        <f aca="false">SUM(E64:E68)</f>
        <v>75.6</v>
      </c>
      <c r="F69" s="14" t="n">
        <f aca="false">SUM(F64:F68)</f>
        <v>10.6</v>
      </c>
      <c r="G69" s="14" t="n">
        <f aca="false">SUM(G64:G68)</f>
        <v>86.05</v>
      </c>
      <c r="H69" s="14" t="n">
        <f aca="false">SUM(H64:H68)</f>
        <v>6.05</v>
      </c>
    </row>
    <row r="70" customFormat="false" ht="14.25" hidden="false" customHeight="false" outlineLevel="0" collapsed="false">
      <c r="A70" s="9" t="s">
        <v>60</v>
      </c>
      <c r="B70" s="9"/>
      <c r="C70" s="9"/>
      <c r="D70" s="9"/>
      <c r="E70" s="9"/>
      <c r="F70" s="9"/>
      <c r="G70" s="9"/>
      <c r="H70" s="9"/>
    </row>
    <row r="71" customFormat="false" ht="14.25" hidden="false" customHeight="false" outlineLevel="0" collapsed="false">
      <c r="A71" s="10" t="s">
        <v>33</v>
      </c>
      <c r="B71" s="11" t="n">
        <v>240</v>
      </c>
      <c r="C71" s="4" t="str">
        <f aca="false">INDEX(Reference!$B$2:$B$39,MATCH($A71,Reference!$A$2:$A$39,0))</f>
        <v>gram</v>
      </c>
      <c r="D71" s="12" t="n">
        <f aca="false">$B71*INDEX(Reference!$C$2:$C$39,MATCH($A71,Reference!$A$2:$A$39,0))</f>
        <v>499.2</v>
      </c>
      <c r="E71" s="12" t="n">
        <f aca="false">$B71*INDEX(Reference!$D$2:$D$39,MATCH($A71,Reference!$A$2:$A$39,0))</f>
        <v>48</v>
      </c>
      <c r="F71" s="12" t="n">
        <f aca="false">$B71*INDEX(Reference!$E$2:$E$39,MATCH($A71,Reference!$A$2:$A$39,0))</f>
        <v>31.2</v>
      </c>
      <c r="G71" s="12" t="n">
        <f aca="false">$B71*INDEX(Reference!$F$2:$F$39,MATCH($A71,Reference!$A$2:$A$39,0))</f>
        <v>0</v>
      </c>
      <c r="H71" s="12" t="n">
        <f aca="false">$B71*INDEX(Reference!$G$2:$G$39,MATCH($A71,Reference!$A$2:$A$39,0))</f>
        <v>0</v>
      </c>
    </row>
    <row r="72" customFormat="false" ht="14.25" hidden="false" customHeight="false" outlineLevel="0" collapsed="false">
      <c r="A72" s="10" t="s">
        <v>21</v>
      </c>
      <c r="B72" s="11" t="n">
        <v>180</v>
      </c>
      <c r="C72" s="4" t="str">
        <f aca="false">INDEX(Reference!$B$2:$B$39,MATCH($A72,Reference!$A$2:$A$39,0))</f>
        <v>gram</v>
      </c>
      <c r="D72" s="12" t="n">
        <f aca="false">$B72*INDEX(Reference!$C$2:$C$39,MATCH($A72,Reference!$A$2:$A$39,0))</f>
        <v>154.8</v>
      </c>
      <c r="E72" s="12" t="n">
        <f aca="false">$B72*INDEX(Reference!$D$2:$D$39,MATCH($A72,Reference!$A$2:$A$39,0))</f>
        <v>3.6</v>
      </c>
      <c r="F72" s="12" t="n">
        <f aca="false">$B72*INDEX(Reference!$E$2:$E$39,MATCH($A72,Reference!$A$2:$A$39,0))</f>
        <v>0</v>
      </c>
      <c r="G72" s="12" t="n">
        <f aca="false">$B72*INDEX(Reference!$F$2:$F$39,MATCH($A72,Reference!$A$2:$A$39,0))</f>
        <v>36</v>
      </c>
      <c r="H72" s="12" t="n">
        <f aca="false">$B72*INDEX(Reference!$G$2:$G$39,MATCH($A72,Reference!$A$2:$A$39,0))</f>
        <v>5.4</v>
      </c>
    </row>
    <row r="73" customFormat="false" ht="27" hidden="false" customHeight="false" outlineLevel="0" collapsed="false">
      <c r="A73" s="15" t="s">
        <v>22</v>
      </c>
      <c r="B73" s="11" t="n">
        <v>1</v>
      </c>
      <c r="C73" s="4" t="str">
        <f aca="false">INDEX(Reference!$B$2:$B$39,MATCH($A73,Reference!$A$2:$A$39,0))</f>
        <v>serving</v>
      </c>
      <c r="D73" s="12" t="n">
        <f aca="false">$B73*INDEX(Reference!$C$2:$C$39,MATCH($A73,Reference!$A$2:$A$39,0))</f>
        <v>40</v>
      </c>
      <c r="E73" s="12" t="n">
        <f aca="false">$B73*INDEX(Reference!$D$2:$D$39,MATCH($A73,Reference!$A$2:$A$39,0))</f>
        <v>2</v>
      </c>
      <c r="F73" s="12" t="n">
        <f aca="false">$B73*INDEX(Reference!$E$2:$E$39,MATCH($A73,Reference!$A$2:$A$39,0))</f>
        <v>0.5</v>
      </c>
      <c r="G73" s="12" t="n">
        <f aca="false">$B73*INDEX(Reference!$F$2:$F$39,MATCH($A73,Reference!$A$2:$A$39,0))</f>
        <v>9</v>
      </c>
      <c r="H73" s="12" t="n">
        <f aca="false">$B73*INDEX(Reference!$G$2:$G$39,MATCH($A73,Reference!$A$2:$A$39,0))</f>
        <v>2</v>
      </c>
    </row>
    <row r="74" customFormat="false" ht="14.25" hidden="false" customHeight="false" outlineLevel="0" collapsed="false">
      <c r="A74" s="10" t="s">
        <v>17</v>
      </c>
      <c r="B74" s="11" t="n">
        <v>25</v>
      </c>
      <c r="C74" s="4" t="str">
        <f aca="false">INDEX(Reference!$B$2:$B$39,MATCH($A74,Reference!$A$2:$A$39,0))</f>
        <v>gram</v>
      </c>
      <c r="D74" s="12" t="n">
        <f aca="false">$B74*INDEX(Reference!$C$2:$C$39,MATCH($A74,Reference!$A$2:$A$39,0))</f>
        <v>14.75</v>
      </c>
      <c r="E74" s="12" t="n">
        <f aca="false">$B74*INDEX(Reference!$D$2:$D$39,MATCH($A74,Reference!$A$2:$A$39,0))</f>
        <v>2.5</v>
      </c>
      <c r="F74" s="12" t="n">
        <f aca="false">$B74*INDEX(Reference!$E$2:$E$39,MATCH($A74,Reference!$A$2:$A$39,0))</f>
        <v>0</v>
      </c>
      <c r="G74" s="12" t="n">
        <f aca="false">$B74*INDEX(Reference!$F$2:$F$39,MATCH($A74,Reference!$A$2:$A$39,0))</f>
        <v>1</v>
      </c>
      <c r="H74" s="12" t="n">
        <f aca="false">$B74*INDEX(Reference!$G$2:$G$39,MATCH($A74,Reference!$A$2:$A$39,0))</f>
        <v>0</v>
      </c>
    </row>
    <row r="75" customFormat="false" ht="14.25" hidden="false" customHeight="false" outlineLevel="0" collapsed="false">
      <c r="A75" s="10" t="s">
        <v>24</v>
      </c>
      <c r="B75" s="11" t="n">
        <v>20</v>
      </c>
      <c r="C75" s="4" t="str">
        <f aca="false">INDEX(Reference!$B$2:$B$39,MATCH($A75,Reference!$A$2:$A$39,0))</f>
        <v>gram</v>
      </c>
      <c r="D75" s="12" t="n">
        <f aca="false">$B75*INDEX(Reference!$C$2:$C$39,MATCH($A75,Reference!$A$2:$A$39,0))</f>
        <v>32</v>
      </c>
      <c r="E75" s="12" t="n">
        <f aca="false">$B75*INDEX(Reference!$D$2:$D$39,MATCH($A75,Reference!$A$2:$A$39,0))</f>
        <v>0.4</v>
      </c>
      <c r="F75" s="12" t="n">
        <f aca="false">$B75*INDEX(Reference!$E$2:$E$39,MATCH($A75,Reference!$A$2:$A$39,0))</f>
        <v>3</v>
      </c>
      <c r="G75" s="12" t="n">
        <f aca="false">$B75*INDEX(Reference!$F$2:$F$39,MATCH($A75,Reference!$A$2:$A$39,0))</f>
        <v>1.8</v>
      </c>
      <c r="H75" s="12" t="n">
        <f aca="false">$B75*INDEX(Reference!$G$2:$G$39,MATCH($A75,Reference!$A$2:$A$39,0))</f>
        <v>1.4</v>
      </c>
    </row>
    <row r="76" customFormat="false" ht="14.25" hidden="false" customHeight="false" outlineLevel="0" collapsed="false">
      <c r="A76" s="13" t="s">
        <v>66</v>
      </c>
      <c r="D76" s="14" t="n">
        <f aca="false">SUM(D71:D75)</f>
        <v>740.75</v>
      </c>
      <c r="E76" s="14" t="n">
        <f aca="false">SUM(E71:E75)</f>
        <v>56.5</v>
      </c>
      <c r="F76" s="14" t="n">
        <f aca="false">SUM(F71:F75)</f>
        <v>34.7</v>
      </c>
      <c r="G76" s="14" t="n">
        <f aca="false">SUM(G71:G75)</f>
        <v>47.8</v>
      </c>
      <c r="H76" s="14" t="n">
        <f aca="false">SUM(H71:H75)</f>
        <v>8.8</v>
      </c>
    </row>
    <row r="77" customFormat="false" ht="14.25" hidden="false" customHeight="false" outlineLevel="0" collapsed="false">
      <c r="A77" s="9" t="s">
        <v>62</v>
      </c>
      <c r="B77" s="9"/>
      <c r="C77" s="9"/>
      <c r="D77" s="9"/>
      <c r="E77" s="9"/>
      <c r="F77" s="9"/>
      <c r="G77" s="9"/>
      <c r="H77" s="9"/>
    </row>
    <row r="78" customFormat="false" ht="14.25" hidden="false" customHeight="false" outlineLevel="0" collapsed="false">
      <c r="A78" s="10" t="s">
        <v>34</v>
      </c>
      <c r="B78" s="11" t="n">
        <v>320</v>
      </c>
      <c r="C78" s="4" t="str">
        <f aca="false">INDEX(Reference!$B$2:$B$39,MATCH($A78,Reference!$A$2:$A$39,0))</f>
        <v>gram</v>
      </c>
      <c r="D78" s="12" t="n">
        <f aca="false">$B78*INDEX(Reference!$C$2:$C$39,MATCH($A78,Reference!$A$2:$A$39,0))</f>
        <v>416</v>
      </c>
      <c r="E78" s="12" t="n">
        <f aca="false">$B78*INDEX(Reference!$D$2:$D$39,MATCH($A78,Reference!$A$2:$A$39,0))</f>
        <v>70.4</v>
      </c>
      <c r="F78" s="12" t="n">
        <f aca="false">$B78*INDEX(Reference!$E$2:$E$39,MATCH($A78,Reference!$A$2:$A$39,0))</f>
        <v>16</v>
      </c>
      <c r="G78" s="12" t="n">
        <f aca="false">$B78*INDEX(Reference!$F$2:$F$39,MATCH($A78,Reference!$A$2:$A$39,0))</f>
        <v>0</v>
      </c>
      <c r="H78" s="12" t="n">
        <f aca="false">$B78*INDEX(Reference!$G$2:$G$39,MATCH($A78,Reference!$A$2:$A$39,0))</f>
        <v>0</v>
      </c>
    </row>
    <row r="79" customFormat="false" ht="14.25" hidden="false" customHeight="false" outlineLevel="0" collapsed="false">
      <c r="A79" s="10" t="s">
        <v>21</v>
      </c>
      <c r="B79" s="11" t="n">
        <v>260</v>
      </c>
      <c r="C79" s="4" t="str">
        <f aca="false">INDEX(Reference!$B$2:$B$39,MATCH($A79,Reference!$A$2:$A$39,0))</f>
        <v>gram</v>
      </c>
      <c r="D79" s="12" t="n">
        <f aca="false">$B79*INDEX(Reference!$C$2:$C$39,MATCH($A79,Reference!$A$2:$A$39,0))</f>
        <v>223.6</v>
      </c>
      <c r="E79" s="12" t="n">
        <f aca="false">$B79*INDEX(Reference!$D$2:$D$39,MATCH($A79,Reference!$A$2:$A$39,0))</f>
        <v>5.2</v>
      </c>
      <c r="F79" s="12" t="n">
        <f aca="false">$B79*INDEX(Reference!$E$2:$E$39,MATCH($A79,Reference!$A$2:$A$39,0))</f>
        <v>0</v>
      </c>
      <c r="G79" s="12" t="n">
        <f aca="false">$B79*INDEX(Reference!$F$2:$F$39,MATCH($A79,Reference!$A$2:$A$39,0))</f>
        <v>52</v>
      </c>
      <c r="H79" s="12" t="n">
        <f aca="false">$B79*INDEX(Reference!$G$2:$G$39,MATCH($A79,Reference!$A$2:$A$39,0))</f>
        <v>7.8</v>
      </c>
    </row>
    <row r="80" customFormat="false" ht="27" hidden="false" customHeight="false" outlineLevel="0" collapsed="false">
      <c r="A80" s="15" t="s">
        <v>22</v>
      </c>
      <c r="B80" s="11" t="n">
        <v>1</v>
      </c>
      <c r="C80" s="4" t="str">
        <f aca="false">INDEX(Reference!$B$2:$B$39,MATCH($A80,Reference!$A$2:$A$39,0))</f>
        <v>serving</v>
      </c>
      <c r="D80" s="12" t="n">
        <f aca="false">$B80*INDEX(Reference!$C$2:$C$39,MATCH($A80,Reference!$A$2:$A$39,0))</f>
        <v>40</v>
      </c>
      <c r="E80" s="12" t="n">
        <f aca="false">$B80*INDEX(Reference!$D$2:$D$39,MATCH($A80,Reference!$A$2:$A$39,0))</f>
        <v>2</v>
      </c>
      <c r="F80" s="12" t="n">
        <f aca="false">$B80*INDEX(Reference!$E$2:$E$39,MATCH($A80,Reference!$A$2:$A$39,0))</f>
        <v>0.5</v>
      </c>
      <c r="G80" s="12" t="n">
        <f aca="false">$B80*INDEX(Reference!$F$2:$F$39,MATCH($A80,Reference!$A$2:$A$39,0))</f>
        <v>9</v>
      </c>
      <c r="H80" s="12" t="n">
        <f aca="false">$B80*INDEX(Reference!$G$2:$G$39,MATCH($A80,Reference!$A$2:$A$39,0))</f>
        <v>2</v>
      </c>
    </row>
    <row r="81" customFormat="false" ht="14.25" hidden="false" customHeight="false" outlineLevel="0" collapsed="false">
      <c r="A81" s="10" t="s">
        <v>17</v>
      </c>
      <c r="B81" s="11" t="n">
        <v>25</v>
      </c>
      <c r="C81" s="4" t="str">
        <f aca="false">INDEX(Reference!$B$2:$B$39,MATCH($A81,Reference!$A$2:$A$39,0))</f>
        <v>gram</v>
      </c>
      <c r="D81" s="12" t="n">
        <f aca="false">$B81*INDEX(Reference!$C$2:$C$39,MATCH($A81,Reference!$A$2:$A$39,0))</f>
        <v>14.75</v>
      </c>
      <c r="E81" s="12" t="n">
        <f aca="false">$B81*INDEX(Reference!$D$2:$D$39,MATCH($A81,Reference!$A$2:$A$39,0))</f>
        <v>2.5</v>
      </c>
      <c r="F81" s="12" t="n">
        <f aca="false">$B81*INDEX(Reference!$E$2:$E$39,MATCH($A81,Reference!$A$2:$A$39,0))</f>
        <v>0</v>
      </c>
      <c r="G81" s="12" t="n">
        <f aca="false">$B81*INDEX(Reference!$F$2:$F$39,MATCH($A81,Reference!$A$2:$A$39,0))</f>
        <v>1</v>
      </c>
      <c r="H81" s="12" t="n">
        <f aca="false">$B81*INDEX(Reference!$G$2:$G$39,MATCH($A81,Reference!$A$2:$A$39,0))</f>
        <v>0</v>
      </c>
    </row>
    <row r="82" customFormat="false" ht="14.25" hidden="false" customHeight="false" outlineLevel="0" collapsed="false">
      <c r="A82" s="10" t="s">
        <v>30</v>
      </c>
      <c r="B82" s="11" t="n">
        <v>5</v>
      </c>
      <c r="C82" s="4" t="str">
        <f aca="false">INDEX(Reference!$B$2:$B$39,MATCH($A82,Reference!$A$2:$A$39,0))</f>
        <v>gram</v>
      </c>
      <c r="D82" s="12" t="n">
        <f aca="false">$B82*INDEX(Reference!$C$2:$C$39,MATCH($A82,Reference!$A$2:$A$39,0))</f>
        <v>44.2</v>
      </c>
      <c r="E82" s="12" t="n">
        <f aca="false">$B82*INDEX(Reference!$D$2:$D$39,MATCH($A82,Reference!$A$2:$A$39,0))</f>
        <v>0</v>
      </c>
      <c r="F82" s="12" t="n">
        <f aca="false">$B82*INDEX(Reference!$E$2:$E$39,MATCH($A82,Reference!$A$2:$A$39,0))</f>
        <v>5</v>
      </c>
      <c r="G82" s="12" t="n">
        <f aca="false">$B82*INDEX(Reference!$F$2:$F$39,MATCH($A82,Reference!$A$2:$A$39,0))</f>
        <v>0</v>
      </c>
      <c r="H82" s="12" t="n">
        <f aca="false">$B82*INDEX(Reference!$G$2:$G$39,MATCH($A82,Reference!$A$2:$A$39,0))</f>
        <v>0</v>
      </c>
    </row>
    <row r="83" customFormat="false" ht="14.25" hidden="false" customHeight="false" outlineLevel="0" collapsed="false">
      <c r="A83" s="13" t="s">
        <v>67</v>
      </c>
      <c r="D83" s="14" t="n">
        <f aca="false">SUM(D78:D82)</f>
        <v>738.55</v>
      </c>
      <c r="E83" s="14" t="n">
        <f aca="false">SUM(E78:E82)</f>
        <v>80.1</v>
      </c>
      <c r="F83" s="14" t="n">
        <f aca="false">SUM(F78:F82)</f>
        <v>21.5</v>
      </c>
      <c r="G83" s="14" t="n">
        <f aca="false">SUM(G78:G82)</f>
        <v>62</v>
      </c>
      <c r="H83" s="14" t="n">
        <f aca="false">SUM(H78:H82)</f>
        <v>9.8</v>
      </c>
    </row>
    <row r="84" customFormat="false" ht="14.25" hidden="false" customHeight="false" outlineLevel="0" collapsed="false">
      <c r="A84" s="3"/>
      <c r="B84" s="11"/>
      <c r="C84" s="4"/>
      <c r="D84" s="12"/>
      <c r="E84" s="12"/>
      <c r="F84" s="12"/>
      <c r="G84" s="12"/>
      <c r="H84" s="12"/>
    </row>
    <row r="85" customFormat="false" ht="14.25" hidden="false" customHeight="false" outlineLevel="0" collapsed="false">
      <c r="A85" s="9" t="s">
        <v>70</v>
      </c>
      <c r="B85" s="9"/>
      <c r="C85" s="9"/>
      <c r="D85" s="9"/>
      <c r="E85" s="9"/>
      <c r="F85" s="9"/>
      <c r="G85" s="9"/>
      <c r="H85" s="9"/>
    </row>
    <row r="86" customFormat="false" ht="14.25" hidden="false" customHeight="false" outlineLevel="0" collapsed="false">
      <c r="A86" s="10" t="s">
        <v>71</v>
      </c>
      <c r="B86" s="11"/>
      <c r="C86" s="4" t="str">
        <f aca="false">IFERROR(INDEX(Reference!$B$2:$B$39,MATCH($A86,Reference!$A$2:$A$39,0)),"")</f>
        <v/>
      </c>
      <c r="D86" s="12" t="n">
        <f aca="false">IFERROR($B86*INDEX(Reference!$C$2:$C$39,MATCH($A86,Reference!$A$2:$A$39,0)),0)</f>
        <v>0</v>
      </c>
      <c r="E86" s="12" t="n">
        <f aca="false">IFERROR($B86*INDEX(Reference!$D$2:$D$39,MATCH($A86,Reference!$A$2:$A$39,0)),0)</f>
        <v>0</v>
      </c>
      <c r="F86" s="12" t="n">
        <f aca="false">IFERROR($B86*INDEX(Reference!$E$2:$E$39,MATCH($A86,Reference!$A$2:$A$39,0)),0)</f>
        <v>0</v>
      </c>
      <c r="G86" s="12" t="n">
        <f aca="false">IFERROR($B86*INDEX(Reference!$F$2:$F$39,MATCH($A86,Reference!$A$2:$A$39,0)),0)</f>
        <v>0</v>
      </c>
      <c r="H86" s="12" t="n">
        <f aca="false">IFERROR($B86*INDEX(Reference!$G$2:$G$39,MATCH($A86,Reference!$A$2:$A$39,0)),0)</f>
        <v>0</v>
      </c>
    </row>
    <row r="87" customFormat="false" ht="14.25" hidden="false" customHeight="false" outlineLevel="0" collapsed="false">
      <c r="A87" s="10" t="s">
        <v>71</v>
      </c>
      <c r="B87" s="11"/>
      <c r="C87" s="4" t="str">
        <f aca="false">IFERROR(INDEX(Reference!$B$2:$B$39,MATCH($A87,Reference!$A$2:$A$39,0)),"")</f>
        <v/>
      </c>
      <c r="D87" s="12" t="n">
        <f aca="false">IFERROR($B87*INDEX(Reference!$C$2:$C$39,MATCH($A87,Reference!$A$2:$A$39,0)),0)</f>
        <v>0</v>
      </c>
      <c r="E87" s="12" t="n">
        <f aca="false">IFERROR($B87*INDEX(Reference!$D$2:$D$39,MATCH($A87,Reference!$A$2:$A$39,0)),0)</f>
        <v>0</v>
      </c>
      <c r="F87" s="12" t="n">
        <f aca="false">IFERROR($B87*INDEX(Reference!$E$2:$E$39,MATCH($A87,Reference!$A$2:$A$39,0)),0)</f>
        <v>0</v>
      </c>
      <c r="G87" s="12" t="n">
        <f aca="false">IFERROR($B87*INDEX(Reference!$F$2:$F$39,MATCH($A87,Reference!$A$2:$A$39,0)),0)</f>
        <v>0</v>
      </c>
      <c r="H87" s="12" t="n">
        <f aca="false">IFERROR($B87*INDEX(Reference!$G$2:$G$39,MATCH($A87,Reference!$A$2:$A$39,0)),0)</f>
        <v>0</v>
      </c>
    </row>
    <row r="88" customFormat="false" ht="14.25" hidden="false" customHeight="false" outlineLevel="0" collapsed="false">
      <c r="A88" s="10" t="s">
        <v>71</v>
      </c>
      <c r="B88" s="11"/>
      <c r="C88" s="4" t="str">
        <f aca="false">IFERROR(INDEX(Reference!$B$2:$B$39,MATCH($A88,Reference!$A$2:$A$39,0)),"")</f>
        <v/>
      </c>
      <c r="D88" s="12" t="n">
        <f aca="false">IFERROR($B88*INDEX(Reference!$C$2:$C$39,MATCH($A88,Reference!$A$2:$A$39,0)),0)</f>
        <v>0</v>
      </c>
      <c r="E88" s="12" t="n">
        <f aca="false">IFERROR($B88*INDEX(Reference!$D$2:$D$39,MATCH($A88,Reference!$A$2:$A$39,0)),0)</f>
        <v>0</v>
      </c>
      <c r="F88" s="12" t="n">
        <f aca="false">IFERROR($B88*INDEX(Reference!$E$2:$E$39,MATCH($A88,Reference!$A$2:$A$39,0)),0)</f>
        <v>0</v>
      </c>
      <c r="G88" s="12" t="n">
        <f aca="false">IFERROR($B88*INDEX(Reference!$F$2:$F$39,MATCH($A88,Reference!$A$2:$A$39,0)),0)</f>
        <v>0</v>
      </c>
      <c r="H88" s="12" t="n">
        <f aca="false">IFERROR($B88*INDEX(Reference!$G$2:$G$39,MATCH($A88,Reference!$A$2:$A$39,0)),0)</f>
        <v>0</v>
      </c>
    </row>
    <row r="89" customFormat="false" ht="14.25" hidden="false" customHeight="false" outlineLevel="0" collapsed="false">
      <c r="A89" s="10" t="s">
        <v>71</v>
      </c>
      <c r="B89" s="11"/>
      <c r="C89" s="4" t="str">
        <f aca="false">IFERROR(INDEX(Reference!$B$2:$B$39,MATCH($A89,Reference!$A$2:$A$39,0)),"")</f>
        <v/>
      </c>
      <c r="D89" s="12" t="n">
        <f aca="false">IFERROR($B89*INDEX(Reference!$C$2:$C$39,MATCH($A89,Reference!$A$2:$A$39,0)),0)</f>
        <v>0</v>
      </c>
      <c r="E89" s="12" t="n">
        <f aca="false">IFERROR($B89*INDEX(Reference!$D$2:$D$39,MATCH($A89,Reference!$A$2:$A$39,0)),0)</f>
        <v>0</v>
      </c>
      <c r="F89" s="12" t="n">
        <f aca="false">IFERROR($B89*INDEX(Reference!$E$2:$E$39,MATCH($A89,Reference!$A$2:$A$39,0)),0)</f>
        <v>0</v>
      </c>
      <c r="G89" s="12" t="n">
        <f aca="false">IFERROR($B89*INDEX(Reference!$F$2:$F$39,MATCH($A89,Reference!$A$2:$A$39,0)),0)</f>
        <v>0</v>
      </c>
      <c r="H89" s="12" t="n">
        <f aca="false">IFERROR($B89*INDEX(Reference!$G$2:$G$39,MATCH($A89,Reference!$A$2:$A$39,0)),0)</f>
        <v>0</v>
      </c>
    </row>
    <row r="90" customFormat="false" ht="15" hidden="false" customHeight="true" outlineLevel="0" collapsed="false">
      <c r="A90" s="10" t="s">
        <v>71</v>
      </c>
      <c r="B90" s="11"/>
      <c r="C90" s="4" t="str">
        <f aca="false">IFERROR(INDEX(Reference!$B$2:$B$39,MATCH($A90,Reference!$A$2:$A$39,0)),"")</f>
        <v/>
      </c>
      <c r="D90" s="12" t="n">
        <f aca="false">IFERROR($B90*INDEX(Reference!$C$2:$C$39,MATCH($A90,Reference!$A$2:$A$39,0)),0)</f>
        <v>0</v>
      </c>
      <c r="E90" s="12" t="n">
        <f aca="false">IFERROR($B90*INDEX(Reference!$D$2:$D$39,MATCH($A90,Reference!$A$2:$A$39,0)),0)</f>
        <v>0</v>
      </c>
      <c r="F90" s="12" t="n">
        <f aca="false">IFERROR($B90*INDEX(Reference!$E$2:$E$39,MATCH($A90,Reference!$A$2:$A$39,0)),0)</f>
        <v>0</v>
      </c>
      <c r="G90" s="12" t="n">
        <f aca="false">IFERROR($B90*INDEX(Reference!$F$2:$F$39,MATCH($A90,Reference!$A$2:$A$39,0)),0)</f>
        <v>0</v>
      </c>
      <c r="H90" s="12" t="n">
        <f aca="false">IFERROR($B90*INDEX(Reference!$G$2:$G$39,MATCH($A90,Reference!$A$2:$A$39,0)),0)</f>
        <v>0</v>
      </c>
    </row>
    <row r="91" customFormat="false" ht="15" hidden="false" customHeight="true" outlineLevel="0" collapsed="false">
      <c r="A91" s="10" t="s">
        <v>71</v>
      </c>
      <c r="B91" s="11"/>
      <c r="C91" s="4" t="str">
        <f aca="false">IFERROR(INDEX(Reference!$B$2:$B$39,MATCH($A91,Reference!$A$2:$A$39,0)),"")</f>
        <v/>
      </c>
      <c r="D91" s="12" t="n">
        <f aca="false">IFERROR($B91*INDEX(Reference!$C$2:$C$39,MATCH($A91,Reference!$A$2:$A$39,0)),0)</f>
        <v>0</v>
      </c>
      <c r="E91" s="12" t="n">
        <f aca="false">IFERROR($B91*INDEX(Reference!$D$2:$D$39,MATCH($A91,Reference!$A$2:$A$39,0)),0)</f>
        <v>0</v>
      </c>
      <c r="F91" s="12" t="n">
        <f aca="false">IFERROR($B91*INDEX(Reference!$E$2:$E$39,MATCH($A91,Reference!$A$2:$A$39,0)),0)</f>
        <v>0</v>
      </c>
      <c r="G91" s="12" t="n">
        <f aca="false">IFERROR($B91*INDEX(Reference!$F$2:$F$39,MATCH($A91,Reference!$A$2:$A$39,0)),0)</f>
        <v>0</v>
      </c>
      <c r="H91" s="12" t="n">
        <f aca="false">IFERROR($B91*INDEX(Reference!$G$2:$G$39,MATCH($A91,Reference!$A$2:$A$39,0)),0)</f>
        <v>0</v>
      </c>
    </row>
    <row r="92" customFormat="false" ht="15" hidden="false" customHeight="true" outlineLevel="0" collapsed="false">
      <c r="A92" s="10" t="s">
        <v>71</v>
      </c>
      <c r="B92" s="11"/>
      <c r="C92" s="4" t="str">
        <f aca="false">IFERROR(INDEX(Reference!$B$2:$B$39,MATCH($A92,Reference!$A$2:$A$39,0)),"")</f>
        <v/>
      </c>
      <c r="D92" s="12" t="n">
        <f aca="false">IFERROR($B92*INDEX(Reference!$C$2:$C$39,MATCH($A92,Reference!$A$2:$A$39,0)),0)</f>
        <v>0</v>
      </c>
      <c r="E92" s="12" t="n">
        <f aca="false">IFERROR($B92*INDEX(Reference!$D$2:$D$39,MATCH($A92,Reference!$A$2:$A$39,0)),0)</f>
        <v>0</v>
      </c>
      <c r="F92" s="12" t="n">
        <f aca="false">IFERROR($B92*INDEX(Reference!$E$2:$E$39,MATCH($A92,Reference!$A$2:$A$39,0)),0)</f>
        <v>0</v>
      </c>
      <c r="G92" s="12" t="n">
        <f aca="false">IFERROR($B92*INDEX(Reference!$F$2:$F$39,MATCH($A92,Reference!$A$2:$A$39,0)),0)</f>
        <v>0</v>
      </c>
      <c r="H92" s="12" t="n">
        <f aca="false">IFERROR($B92*INDEX(Reference!$G$2:$G$39,MATCH($A92,Reference!$A$2:$A$39,0)),0)</f>
        <v>0</v>
      </c>
    </row>
    <row r="93" customFormat="false" ht="14.25" hidden="false" customHeight="false" outlineLevel="0" collapsed="false">
      <c r="A93" s="10" t="s">
        <v>71</v>
      </c>
      <c r="B93" s="11"/>
      <c r="C93" s="4" t="str">
        <f aca="false">IFERROR(INDEX(Reference!$B$2:$B$39,MATCH($A93,Reference!$A$2:$A$39,0)),"")</f>
        <v/>
      </c>
      <c r="D93" s="12" t="n">
        <f aca="false">IFERROR($B93*INDEX(Reference!$C$2:$C$39,MATCH($A93,Reference!$A$2:$A$39,0)),0)</f>
        <v>0</v>
      </c>
      <c r="E93" s="12" t="n">
        <f aca="false">IFERROR($B93*INDEX(Reference!$D$2:$D$39,MATCH($A93,Reference!$A$2:$A$39,0)),0)</f>
        <v>0</v>
      </c>
      <c r="F93" s="12" t="n">
        <f aca="false">IFERROR($B93*INDEX(Reference!$E$2:$E$39,MATCH($A93,Reference!$A$2:$A$39,0)),0)</f>
        <v>0</v>
      </c>
      <c r="G93" s="12" t="n">
        <f aca="false">IFERROR($B93*INDEX(Reference!$F$2:$F$39,MATCH($A93,Reference!$A$2:$A$39,0)),0)</f>
        <v>0</v>
      </c>
      <c r="H93" s="12" t="n">
        <f aca="false">IFERROR($B93*INDEX(Reference!$G$2:$G$39,MATCH($A93,Reference!$A$2:$A$39,0)),0)</f>
        <v>0</v>
      </c>
    </row>
    <row r="94" customFormat="false" ht="14.25" hidden="false" customHeight="false" outlineLevel="0" collapsed="false">
      <c r="A94" s="10" t="s">
        <v>71</v>
      </c>
      <c r="B94" s="11"/>
      <c r="C94" s="4" t="str">
        <f aca="false">IFERROR(INDEX(Reference!$B$2:$B$39,MATCH($A94,Reference!$A$2:$A$39,0)),"")</f>
        <v/>
      </c>
      <c r="D94" s="12" t="n">
        <f aca="false">IFERROR($B94*INDEX(Reference!$C$2:$C$39,MATCH($A94,Reference!$A$2:$A$39,0)),0)</f>
        <v>0</v>
      </c>
      <c r="E94" s="12" t="n">
        <f aca="false">IFERROR($B94*INDEX(Reference!$D$2:$D$39,MATCH($A94,Reference!$A$2:$A$39,0)),0)</f>
        <v>0</v>
      </c>
      <c r="F94" s="12" t="n">
        <f aca="false">IFERROR($B94*INDEX(Reference!$E$2:$E$39,MATCH($A94,Reference!$A$2:$A$39,0)),0)</f>
        <v>0</v>
      </c>
      <c r="G94" s="12" t="n">
        <f aca="false">IFERROR($B94*INDEX(Reference!$F$2:$F$39,MATCH($A94,Reference!$A$2:$A$39,0)),0)</f>
        <v>0</v>
      </c>
      <c r="H94" s="12" t="n">
        <f aca="false">IFERROR($B94*INDEX(Reference!$G$2:$G$39,MATCH($A94,Reference!$A$2:$A$39,0)),0)</f>
        <v>0</v>
      </c>
    </row>
    <row r="95" customFormat="false" ht="14.25" hidden="false" customHeight="false" outlineLevel="0" collapsed="false">
      <c r="A95" s="10" t="s">
        <v>71</v>
      </c>
      <c r="B95" s="11"/>
      <c r="C95" s="4" t="str">
        <f aca="false">IFERROR(INDEX(Reference!$B$2:$B$39,MATCH($A95,Reference!$A$2:$A$39,0)),"")</f>
        <v/>
      </c>
      <c r="D95" s="12" t="n">
        <f aca="false">IFERROR($B95*INDEX(Reference!$C$2:$C$39,MATCH($A95,Reference!$A$2:$A$39,0)),0)</f>
        <v>0</v>
      </c>
      <c r="E95" s="12" t="n">
        <f aca="false">IFERROR($B95*INDEX(Reference!$D$2:$D$39,MATCH($A95,Reference!$A$2:$A$39,0)),0)</f>
        <v>0</v>
      </c>
      <c r="F95" s="12" t="n">
        <f aca="false">IFERROR($B95*INDEX(Reference!$E$2:$E$39,MATCH($A95,Reference!$A$2:$A$39,0)),0)</f>
        <v>0</v>
      </c>
      <c r="G95" s="12" t="n">
        <f aca="false">IFERROR($B95*INDEX(Reference!$F$2:$F$39,MATCH($A95,Reference!$A$2:$A$39,0)),0)</f>
        <v>0</v>
      </c>
      <c r="H95" s="12" t="n">
        <f aca="false">IFERROR($B95*INDEX(Reference!$G$2:$G$39,MATCH($A95,Reference!$A$2:$A$39,0)),0)</f>
        <v>0</v>
      </c>
    </row>
    <row r="96" customFormat="false" ht="14.25" hidden="false" customHeight="false" outlineLevel="0" collapsed="false">
      <c r="A96" s="13" t="s">
        <v>72</v>
      </c>
      <c r="B96" s="11"/>
      <c r="C96" s="4"/>
      <c r="D96" s="14" t="n">
        <f aca="false">SUM(D86:D95)</f>
        <v>0</v>
      </c>
      <c r="E96" s="14" t="n">
        <f aca="false">SUM(E86:E95)</f>
        <v>0</v>
      </c>
      <c r="F96" s="14" t="n">
        <f aca="false">SUM(F86:F95)</f>
        <v>0</v>
      </c>
      <c r="G96" s="14" t="n">
        <f aca="false">SUM(G86:G95)</f>
        <v>0</v>
      </c>
      <c r="H96" s="14" t="n">
        <f aca="false">SUM(H86:H95)</f>
        <v>0</v>
      </c>
    </row>
    <row r="97" customFormat="false" ht="14.25" hidden="false" customHeight="false" outlineLevel="0" collapsed="false">
      <c r="A97" s="3"/>
      <c r="B97" s="11"/>
      <c r="C97" s="4"/>
      <c r="D97" s="12"/>
      <c r="E97" s="12"/>
      <c r="F97" s="12"/>
      <c r="G97" s="12"/>
      <c r="H97" s="12"/>
    </row>
    <row r="98" customFormat="false" ht="14.25" hidden="false" customHeight="false" outlineLevel="0" collapsed="false">
      <c r="A98" s="16" t="s">
        <v>73</v>
      </c>
      <c r="B98" s="16"/>
      <c r="C98" s="16"/>
      <c r="D98" s="16"/>
      <c r="E98" s="16"/>
      <c r="F98" s="16"/>
      <c r="G98" s="16"/>
      <c r="H98" s="16"/>
    </row>
    <row r="99" customFormat="false" ht="14.25" hidden="false" customHeight="false" outlineLevel="0" collapsed="false">
      <c r="A99" s="3"/>
      <c r="B99" s="11"/>
      <c r="C99" s="4"/>
      <c r="D99" s="12"/>
      <c r="E99" s="12"/>
      <c r="F99" s="12"/>
      <c r="G99" s="12"/>
      <c r="H99" s="12"/>
    </row>
    <row r="100" customFormat="false" ht="15" hidden="false" customHeight="false" outlineLevel="0" collapsed="false">
      <c r="A100" s="17" t="s">
        <v>74</v>
      </c>
      <c r="B100" s="17"/>
      <c r="C100" s="17"/>
      <c r="D100" s="18" t="n">
        <f aca="false">D10+D32+D55+D69</f>
        <v>2481.41</v>
      </c>
      <c r="E100" s="18" t="n">
        <f aca="false">E10+E32+E55+E69</f>
        <v>230.39</v>
      </c>
      <c r="F100" s="18" t="n">
        <f aca="false">F10+F32+F55+F69</f>
        <v>63.17</v>
      </c>
      <c r="G100" s="18" t="n">
        <f aca="false">G10+G32+G55+G69</f>
        <v>260.67</v>
      </c>
      <c r="H100" s="18" t="n">
        <f aca="false">H10+H32+H55+H69</f>
        <v>30.25</v>
      </c>
    </row>
    <row r="101" customFormat="false" ht="15" hidden="false" customHeight="false" outlineLevel="0" collapsed="false">
      <c r="A101" s="17" t="s">
        <v>75</v>
      </c>
      <c r="B101" s="17"/>
      <c r="C101" s="17"/>
      <c r="D101" s="18" t="n">
        <f aca="false">D18+D39+D60+D76</f>
        <v>2518.79</v>
      </c>
      <c r="E101" s="18" t="n">
        <f aca="false">E18+E39+E60+E76</f>
        <v>207.55</v>
      </c>
      <c r="F101" s="18" t="n">
        <f aca="false">F18+F39+F60+F76</f>
        <v>70.46</v>
      </c>
      <c r="G101" s="18" t="n">
        <f aca="false">G18+G39+G60+G76</f>
        <v>271.7</v>
      </c>
      <c r="H101" s="18" t="n">
        <f aca="false">H18+H39+H60+H76</f>
        <v>35.43</v>
      </c>
    </row>
    <row r="102" customFormat="false" ht="15" hidden="false" customHeight="false" outlineLevel="0" collapsed="false">
      <c r="A102" s="17" t="s">
        <v>76</v>
      </c>
      <c r="B102" s="17"/>
      <c r="C102" s="17"/>
      <c r="D102" s="18" t="n">
        <f aca="false">D23+D46+D55+D83</f>
        <v>2505.19</v>
      </c>
      <c r="E102" s="18" t="n">
        <f aca="false">E23+E46+E55+E83</f>
        <v>226.37</v>
      </c>
      <c r="F102" s="18" t="n">
        <f aca="false">F23+F46+F55+F83</f>
        <v>100.25</v>
      </c>
      <c r="G102" s="18" t="n">
        <f aca="false">G23+G46+G55+G83</f>
        <v>191.34</v>
      </c>
      <c r="H102" s="18" t="n">
        <f aca="false">H23+H46+H55+H83</f>
        <v>37.59</v>
      </c>
    </row>
  </sheetData>
  <mergeCells count="20">
    <mergeCell ref="A3:H3"/>
    <mergeCell ref="A4:H4"/>
    <mergeCell ref="A11:H11"/>
    <mergeCell ref="A19:H19"/>
    <mergeCell ref="A25:H25"/>
    <mergeCell ref="A26:H26"/>
    <mergeCell ref="A33:H33"/>
    <mergeCell ref="A40:H40"/>
    <mergeCell ref="A48:H48"/>
    <mergeCell ref="A49:H49"/>
    <mergeCell ref="A56:H56"/>
    <mergeCell ref="A62:H62"/>
    <mergeCell ref="A63:H63"/>
    <mergeCell ref="A70:H70"/>
    <mergeCell ref="A77:H77"/>
    <mergeCell ref="A85:H85"/>
    <mergeCell ref="A98:H98"/>
    <mergeCell ref="A100:C100"/>
    <mergeCell ref="A101:C101"/>
    <mergeCell ref="A102:C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2026-07-12T12:55:00Z</dcterms:created>
  <dc:creator>openpyxl</dc:creator>
  <dc:description/>
  <dc:language>en-US</dc:language>
  <cp:lastModifiedBy/>
  <dcterms:modified xsi:type="dcterms:W3CDTF">2026-08-28T07:59:04Z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